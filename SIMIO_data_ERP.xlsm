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rebelo\Nextcloud\FAMEST\FAMEST-T3.1.4 Simulação SisProdCalCust IIoT\"/>
    </mc:Choice>
  </mc:AlternateContent>
  <bookViews>
    <workbookView xWindow="0" yWindow="0" windowWidth="20490" windowHeight="6975" tabRatio="793" activeTab="8"/>
  </bookViews>
  <sheets>
    <sheet name="DADOSBASE" sheetId="69" r:id="rId1"/>
    <sheet name="PLANOPRODUCAO" sheetId="66" r:id="rId2"/>
    <sheet name="WIP" sheetId="82" r:id="rId3"/>
    <sheet name="ROTAS" sheetId="68" r:id="rId4"/>
    <sheet name="PROCESSAMENTOTAREFAS" sheetId="67" r:id="rId5"/>
    <sheet name="TAREFARECURSOS" sheetId="72" r:id="rId6"/>
    <sheet name="TABELA DE RECURSOS " sheetId="81" r:id="rId7"/>
    <sheet name="RECURSOS" sheetId="80" r:id="rId8"/>
    <sheet name="FORMAS" sheetId="73" r:id="rId9"/>
    <sheet name="Maquinas" sheetId="65" r:id="rId10"/>
    <sheet name="TaskMaterials" sheetId="71" r:id="rId11"/>
    <sheet name="ChangeOver" sheetId="70" r:id="rId12"/>
  </sheets>
  <functionGroups builtInGroupCount="18"/>
  <definedNames>
    <definedName name="_xlnm._FilterDatabase" localSheetId="0" hidden="1">DADOSBASE!$A$1:$D$1</definedName>
    <definedName name="_xlnm._FilterDatabase" localSheetId="8" hidden="1">FORMAS!$B$1:$F$1</definedName>
    <definedName name="_xlnm._FilterDatabase" localSheetId="9" hidden="1">Maquinas!$A$1:$D$1</definedName>
    <definedName name="_xlnm._FilterDatabase" localSheetId="1" hidden="1">PLANOPRODUCAO!$A$1:$G$1</definedName>
    <definedName name="_xlnm._FilterDatabase" localSheetId="4" hidden="1">PROCESSAMENTOTAREFAS!$A$1:$N$1</definedName>
    <definedName name="_xlnm._FilterDatabase" localSheetId="7" hidden="1">RECURSOS!$A$1:$A$1</definedName>
    <definedName name="_xlnm._FilterDatabase" localSheetId="3" hidden="1">ROTAS!$A$1:$F$1</definedName>
    <definedName name="_xlnm._FilterDatabase" localSheetId="5" hidden="1">TAREFARECURSOS!$A$1:$J$1</definedName>
    <definedName name="_xlnm._FilterDatabase" localSheetId="10" hidden="1">TaskMaterials!$A$1:$D$1</definedName>
    <definedName name="_xlnm._FilterDatabase" localSheetId="2" hidden="1">WIP!$A$1:$F$1</definedName>
  </definedNames>
  <calcPr calcId="162913"/>
</workbook>
</file>

<file path=xl/calcChain.xml><?xml version="1.0" encoding="utf-8"?>
<calcChain xmlns="http://schemas.openxmlformats.org/spreadsheetml/2006/main">
  <c r="B5" i="68" l="1"/>
  <c r="F7" i="67"/>
  <c r="B55" i="68" l="1"/>
  <c r="B34" i="68"/>
  <c r="B13" i="68"/>
  <c r="F56" i="67"/>
  <c r="F35" i="67"/>
  <c r="F13" i="67"/>
  <c r="F10" i="67"/>
  <c r="B10" i="68"/>
  <c r="F66" i="67" l="1"/>
  <c r="F65" i="67"/>
  <c r="F64" i="67"/>
  <c r="F63" i="67"/>
  <c r="F62" i="67"/>
  <c r="F61" i="67"/>
  <c r="F60" i="67"/>
  <c r="F57" i="67"/>
  <c r="F55" i="67"/>
  <c r="F54" i="67"/>
  <c r="F53" i="67"/>
  <c r="F52" i="67"/>
  <c r="F51" i="67"/>
  <c r="F50" i="67"/>
  <c r="F49" i="67"/>
  <c r="F48" i="67"/>
  <c r="F47" i="67"/>
  <c r="F46" i="67"/>
  <c r="F45" i="67"/>
  <c r="F44" i="67"/>
  <c r="F43" i="67"/>
  <c r="F42" i="67"/>
  <c r="F41" i="67"/>
  <c r="F40" i="67"/>
  <c r="F39" i="67"/>
  <c r="F38" i="67"/>
  <c r="F37" i="67"/>
  <c r="F36" i="67"/>
  <c r="F34" i="67"/>
  <c r="F33" i="67"/>
  <c r="F32" i="67"/>
  <c r="F31" i="67"/>
  <c r="F30" i="67"/>
  <c r="F29" i="67"/>
  <c r="F28" i="67"/>
  <c r="F27" i="67"/>
  <c r="F26" i="67"/>
  <c r="F25" i="67"/>
  <c r="F24" i="67"/>
  <c r="F15" i="67"/>
  <c r="F3" i="67"/>
  <c r="F4" i="67"/>
  <c r="F5" i="67"/>
  <c r="F6" i="67"/>
  <c r="F8" i="67"/>
  <c r="F9" i="67"/>
  <c r="F11" i="67"/>
  <c r="F12" i="67"/>
  <c r="F14" i="67"/>
  <c r="F17" i="67"/>
  <c r="F18" i="67"/>
  <c r="F19" i="67"/>
  <c r="F20" i="67"/>
  <c r="F21" i="67"/>
  <c r="F22" i="67"/>
  <c r="F23" i="67"/>
  <c r="F2" i="67"/>
  <c r="B64" i="68"/>
  <c r="B63" i="68"/>
  <c r="B62" i="68"/>
  <c r="B61" i="68"/>
  <c r="B60" i="68"/>
  <c r="B59" i="68"/>
  <c r="B58" i="68"/>
  <c r="B57" i="68"/>
  <c r="B56" i="68"/>
  <c r="B54" i="68"/>
  <c r="B53" i="68"/>
  <c r="B52" i="68"/>
  <c r="B51" i="68"/>
  <c r="B50" i="68"/>
  <c r="B49" i="68"/>
  <c r="B48" i="68"/>
  <c r="B47" i="68"/>
  <c r="B46" i="68"/>
  <c r="B45" i="68"/>
  <c r="B44" i="68"/>
  <c r="B43" i="68"/>
  <c r="B42" i="68"/>
  <c r="B41" i="68"/>
  <c r="B40" i="68"/>
  <c r="B39" i="68"/>
  <c r="B38" i="68"/>
  <c r="B37" i="68"/>
  <c r="B36" i="68"/>
  <c r="B35" i="68"/>
  <c r="B33" i="68"/>
  <c r="B32" i="68"/>
  <c r="B31" i="68"/>
  <c r="B30" i="68"/>
  <c r="B29" i="68"/>
  <c r="B28" i="68"/>
  <c r="B27" i="68"/>
  <c r="B26" i="68"/>
  <c r="B25" i="68"/>
  <c r="B24" i="68"/>
  <c r="B23" i="68"/>
  <c r="B21" i="68"/>
  <c r="B22" i="68"/>
  <c r="B3" i="68"/>
  <c r="B4" i="68"/>
  <c r="B6" i="68"/>
  <c r="B7" i="68"/>
  <c r="B8" i="68"/>
  <c r="B9" i="68"/>
  <c r="B11" i="68"/>
  <c r="B12" i="68"/>
  <c r="B14" i="68"/>
  <c r="B15" i="68"/>
  <c r="B16" i="68"/>
  <c r="B17" i="68"/>
  <c r="B18" i="68"/>
  <c r="B19" i="68"/>
  <c r="B20" i="68"/>
  <c r="B2" i="68"/>
</calcChain>
</file>

<file path=xl/sharedStrings.xml><?xml version="1.0" encoding="utf-8"?>
<sst xmlns="http://schemas.openxmlformats.org/spreadsheetml/2006/main" count="944" uniqueCount="152">
  <si>
    <t>ID</t>
  </si>
  <si>
    <t>ProcessName</t>
  </si>
  <si>
    <t>ChangeoverLogic</t>
  </si>
  <si>
    <t>SetupEfficiencyMultiplier</t>
  </si>
  <si>
    <t>AssumeConcurrentSetups</t>
  </si>
  <si>
    <t>M1</t>
  </si>
  <si>
    <t>1.0</t>
  </si>
  <si>
    <t>M2</t>
  </si>
  <si>
    <t>M3</t>
  </si>
  <si>
    <t>M4</t>
  </si>
  <si>
    <t>BranchType</t>
  </si>
  <si>
    <t>ConditionOrProbability</t>
  </si>
  <si>
    <t>TaskProcessType</t>
  </si>
  <si>
    <t>StartingTask</t>
  </si>
  <si>
    <t>FinishedTask</t>
  </si>
  <si>
    <t>AutoCancelTrigger</t>
  </si>
  <si>
    <t>Green</t>
  </si>
  <si>
    <t>Red</t>
  </si>
  <si>
    <t>Black</t>
  </si>
  <si>
    <t>M5</t>
  </si>
  <si>
    <t>M6</t>
  </si>
  <si>
    <t>M7</t>
  </si>
  <si>
    <t>M8</t>
  </si>
  <si>
    <t>M9</t>
  </si>
  <si>
    <t>ProductColorChangeoverTimes</t>
  </si>
  <si>
    <t>Example</t>
  </si>
  <si>
    <t>TaskID</t>
  </si>
  <si>
    <t>ActionType</t>
  </si>
  <si>
    <t>MaterialName</t>
  </si>
  <si>
    <t>Quantity</t>
  </si>
  <si>
    <t>ResourceListName</t>
  </si>
  <si>
    <t>SelectionGoal</t>
  </si>
  <si>
    <t>SelectionExpression</t>
  </si>
  <si>
    <t>NumberOfObjects</t>
  </si>
  <si>
    <t>UnitsPerObject</t>
  </si>
  <si>
    <t>RequestMove</t>
  </si>
  <si>
    <t>DestinationNode</t>
  </si>
  <si>
    <t>Always</t>
  </si>
  <si>
    <t>SpecificTime</t>
  </si>
  <si>
    <t>SetTaskName</t>
  </si>
  <si>
    <t>ClearTaskName</t>
  </si>
  <si>
    <t>None</t>
  </si>
  <si>
    <t>M10</t>
  </si>
  <si>
    <t>M11</t>
  </si>
  <si>
    <t>M12</t>
  </si>
  <si>
    <t>M13</t>
  </si>
  <si>
    <t>M14</t>
  </si>
  <si>
    <t>Nome</t>
  </si>
  <si>
    <t>Brown</t>
  </si>
  <si>
    <t>M101</t>
  </si>
  <si>
    <t>M102</t>
  </si>
  <si>
    <t>M103</t>
  </si>
  <si>
    <t>M104</t>
  </si>
  <si>
    <t>M105</t>
  </si>
  <si>
    <t>M106</t>
  </si>
  <si>
    <t>M107</t>
  </si>
  <si>
    <t>MontarCalcanheira</t>
  </si>
  <si>
    <t>DarCola</t>
  </si>
  <si>
    <t>MontarBicos</t>
  </si>
  <si>
    <t>Specific</t>
  </si>
  <si>
    <t>PreferredOrder</t>
  </si>
  <si>
    <t>ToNode</t>
  </si>
  <si>
    <t>ENTRADAPOSTO</t>
  </si>
  <si>
    <t>POSTO</t>
  </si>
  <si>
    <t>SETUPTIME</t>
  </si>
  <si>
    <t>ChangeoverLogic2</t>
  </si>
  <si>
    <t>PIETRO</t>
  </si>
  <si>
    <t>ADS COMBI</t>
  </si>
  <si>
    <t>COS</t>
  </si>
  <si>
    <t>FORMA</t>
  </si>
  <si>
    <t>TAM</t>
  </si>
  <si>
    <t>DISPONIVEL</t>
  </si>
  <si>
    <t>DATAPARTIDA</t>
  </si>
  <si>
    <t>ORDFAB</t>
  </si>
  <si>
    <t>MODELO</t>
  </si>
  <si>
    <t>TAM_M</t>
  </si>
  <si>
    <t>Modelo1</t>
  </si>
  <si>
    <t>Modelo2</t>
  </si>
  <si>
    <t>Modelo3</t>
  </si>
  <si>
    <t>PARESHORA_M</t>
  </si>
  <si>
    <t>PARESHORA_A</t>
  </si>
  <si>
    <t>NOME</t>
  </si>
  <si>
    <t>CORPRODUTO</t>
  </si>
  <si>
    <t>TIPO</t>
  </si>
  <si>
    <t>TAM_F</t>
  </si>
  <si>
    <t>Cintar</t>
  </si>
  <si>
    <t>MeterForma</t>
  </si>
  <si>
    <t>Forno4</t>
  </si>
  <si>
    <t>Riscar</t>
  </si>
  <si>
    <t>PreDarCola</t>
  </si>
  <si>
    <t>FornoReativador</t>
  </si>
  <si>
    <t>Prensar</t>
  </si>
  <si>
    <t>Limpar</t>
  </si>
  <si>
    <t>CFrio</t>
  </si>
  <si>
    <t>CardarLateral</t>
  </si>
  <si>
    <t>HBicos</t>
  </si>
  <si>
    <t>HCalcanheira</t>
  </si>
  <si>
    <t>CardarCinta</t>
  </si>
  <si>
    <t>ColarSola</t>
  </si>
  <si>
    <t>DesenformarA</t>
  </si>
  <si>
    <t>DesenformarM</t>
  </si>
  <si>
    <t>OPERACAO</t>
  </si>
  <si>
    <t>Esperar</t>
  </si>
  <si>
    <t>TAREFAID</t>
  </si>
  <si>
    <t>TAREFASEQUENCIA</t>
  </si>
  <si>
    <t>TAREFANOME</t>
  </si>
  <si>
    <t>TIPORECURSO</t>
  </si>
  <si>
    <t>RECURSONOME</t>
  </si>
  <si>
    <t>CATEGORIA</t>
  </si>
  <si>
    <t>Qt</t>
  </si>
  <si>
    <t>Cintar_Darcola</t>
  </si>
  <si>
    <t>Hcalcanheira</t>
  </si>
  <si>
    <t>MontarCalcanheira_Hcalcanheira</t>
  </si>
  <si>
    <t>PreDarCola_DarCola_Prensa</t>
  </si>
  <si>
    <t>Listas</t>
  </si>
  <si>
    <t>P_Cintar</t>
  </si>
  <si>
    <t>P_MeterForma</t>
  </si>
  <si>
    <t>P_Forno</t>
  </si>
  <si>
    <t>P_HBicos</t>
  </si>
  <si>
    <t>P_MontarBicos</t>
  </si>
  <si>
    <t>P_HCalcanheira</t>
  </si>
  <si>
    <t>P_MontarCalcanheira</t>
  </si>
  <si>
    <t>P_Forno4</t>
  </si>
  <si>
    <t>P_Riscar</t>
  </si>
  <si>
    <t>P_ColarSola</t>
  </si>
  <si>
    <t>P_CardarLateral</t>
  </si>
  <si>
    <t>P_PreDarCola</t>
  </si>
  <si>
    <t>P_DarCola</t>
  </si>
  <si>
    <t>P_FornoReativador</t>
  </si>
  <si>
    <t>P_Prensar</t>
  </si>
  <si>
    <t>P_Limpar</t>
  </si>
  <si>
    <t>P_CFrio</t>
  </si>
  <si>
    <t>P_DesenformarA</t>
  </si>
  <si>
    <t>P_DesenformarM</t>
  </si>
  <si>
    <t>Forno_Aquecer</t>
  </si>
  <si>
    <t>TEMPOPROCESSAMENTO</t>
  </si>
  <si>
    <t>PreDarCola_Modelo3</t>
  </si>
  <si>
    <t>W_DarCola</t>
  </si>
  <si>
    <t>null</t>
  </si>
  <si>
    <t>Input@P_DarCola</t>
  </si>
  <si>
    <t>P_Cardar2</t>
  </si>
  <si>
    <t>P_Cardar1</t>
  </si>
  <si>
    <t>Cardar1</t>
  </si>
  <si>
    <t>Cardar2</t>
  </si>
  <si>
    <t>POR POR REFERENCIA A DISPONIBILIDADE</t>
  </si>
  <si>
    <t>recurso_id</t>
  </si>
  <si>
    <t>tarefa_id</t>
  </si>
  <si>
    <t>value</t>
  </si>
  <si>
    <t>QT Stock falta produzir</t>
  </si>
  <si>
    <t>RFID par</t>
  </si>
  <si>
    <t>ID_FORMA</t>
  </si>
  <si>
    <t>TAREFA_ID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</si>
</sst>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* #,##0.00\ &quot;€&quot;_-;\-* #,##0.00\ &quot;€&quot;_-;_-* &quot;-&quot;??\ &quot;€&quot;_-;_-@_-"/>
    <numFmt numFmtId="43" formatCode="_-* #,##0.00_-;\-* #,##0.00_-;_-* &quot;-&quot;??_-;_-@_-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17">
    <xf numFmtId="0" fontId="0" fillId="0" borderId="0"/>
    <xf numFmtId="0" fontId="1" fillId="0" borderId="0"/>
    <xf numFmtId="0" fontId="2" fillId="0" borderId="0"/>
    <xf numFmtId="0" fontId="3" fillId="0" borderId="0"/>
    <xf numFmtId="9" fontId="1" fillId="0" borderId="0" applyFont="0" applyFill="0" applyBorder="0" applyAlignment="0" applyProtection="0"/>
    <xf numFmtId="0" fontId="1" fillId="0" borderId="0"/>
    <xf numFmtId="0" fontId="4" fillId="0" borderId="0"/>
    <xf numFmtId="0" fontId="1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8" fillId="2" borderId="0" applyNumberFormat="0" applyBorder="0" applyAlignment="0" applyProtection="0"/>
  </cellStyleXfs>
  <cellXfs count="8">
    <xf numFmtId="0" fontId="0" fillId="0" borderId="0" xfId="0"/>
    <xf numFmtId="0" fontId="0" fillId="0" borderId="0" xfId="0"/>
    <xf numFmtId="22" fontId="0" fillId="0" borderId="0" xfId="0" applyNumberForma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0" fillId="0" borderId="0" xfId="0" applyFont="1"/>
    <xf numFmtId="0" fontId="8" fillId="2" borderId="0" xfId="16"/>
  </cellXfs>
  <cellStyles count="17">
    <cellStyle name="Bad" xfId="16" builtinId="27"/>
    <cellStyle name="Comma 2" xfId="8"/>
    <cellStyle name="Comma 2 2" xfId="10"/>
    <cellStyle name="Comma 2 3" xfId="12"/>
    <cellStyle name="Comma 3" xfId="9"/>
    <cellStyle name="Comma 4" xfId="11"/>
    <cellStyle name="Comma 5" xfId="15"/>
    <cellStyle name="Currency 2" xfId="13"/>
    <cellStyle name="Normal" xfId="0" builtinId="0"/>
    <cellStyle name="Normal 2" xfId="1"/>
    <cellStyle name="Normal 2 2" xfId="6"/>
    <cellStyle name="Normal 2 2 2" xfId="7"/>
    <cellStyle name="Normal 2 3" xfId="14"/>
    <cellStyle name="Normal 3" xfId="2"/>
    <cellStyle name="Normal 3 2" xfId="5"/>
    <cellStyle name="Normal 44" xfId="3"/>
    <cellStyle name="Percent 2" xfId="4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0000FF"/>
      <color rgb="FF64C8EB"/>
      <color rgb="FF00FFFF"/>
      <color rgb="FF00FF00"/>
      <color rgb="FF8FFFC2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"/>
  <sheetViews>
    <sheetView workbookViewId="0">
      <selection activeCell="E13" sqref="E13"/>
    </sheetView>
  </sheetViews>
  <sheetFormatPr defaultRowHeight="15" x14ac:dyDescent="0.25"/>
  <cols>
    <col min="1" max="3" width="9.140625" style="1"/>
    <col min="4" max="4" width="16.42578125" style="1" customWidth="1"/>
    <col min="5" max="6" width="21" bestFit="1" customWidth="1"/>
  </cols>
  <sheetData>
    <row r="1" spans="1:6" x14ac:dyDescent="0.25">
      <c r="A1" s="3" t="s">
        <v>74</v>
      </c>
      <c r="B1" s="3" t="s">
        <v>0</v>
      </c>
      <c r="C1" s="3" t="s">
        <v>81</v>
      </c>
      <c r="D1" s="3" t="s">
        <v>82</v>
      </c>
      <c r="E1" s="3" t="s">
        <v>79</v>
      </c>
      <c r="F1" s="3" t="s">
        <v>80</v>
      </c>
    </row>
    <row r="2" spans="1:6" x14ac:dyDescent="0.25">
      <c r="A2" s="1" t="s">
        <v>76</v>
      </c>
      <c r="B2" s="1">
        <v>1</v>
      </c>
      <c r="D2" s="1" t="s">
        <v>48</v>
      </c>
      <c r="E2">
        <v>10</v>
      </c>
      <c r="F2" s="1">
        <v>30</v>
      </c>
    </row>
    <row r="3" spans="1:6" x14ac:dyDescent="0.25">
      <c r="A3" s="1" t="s">
        <v>77</v>
      </c>
      <c r="B3" s="1">
        <v>2</v>
      </c>
      <c r="D3" s="1" t="s">
        <v>17</v>
      </c>
      <c r="E3">
        <v>20</v>
      </c>
      <c r="F3" s="1">
        <v>40</v>
      </c>
    </row>
    <row r="4" spans="1:6" x14ac:dyDescent="0.25">
      <c r="A4" s="1" t="s">
        <v>78</v>
      </c>
      <c r="B4" s="1">
        <v>3</v>
      </c>
      <c r="D4" s="1" t="s">
        <v>18</v>
      </c>
      <c r="E4">
        <v>30</v>
      </c>
      <c r="F4" s="1">
        <v>50</v>
      </c>
    </row>
  </sheetData>
  <autoFilter ref="A1:D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G22"/>
  <sheetViews>
    <sheetView zoomScale="220" zoomScaleNormal="220" workbookViewId="0">
      <selection activeCell="B1" sqref="B1:F2"/>
    </sheetView>
  </sheetViews>
  <sheetFormatPr defaultRowHeight="15" x14ac:dyDescent="0.25"/>
  <cols>
    <col min="1" max="1" width="15.85546875" style="1" bestFit="1" customWidth="1"/>
    <col min="2" max="2" width="13.42578125" style="1" bestFit="1" customWidth="1"/>
    <col min="3" max="3" width="11.140625" style="1" bestFit="1" customWidth="1"/>
    <col min="4" max="4" width="23.42578125" style="1" bestFit="1" customWidth="1"/>
    <col min="5" max="5" width="10.28515625" style="1" bestFit="1" customWidth="1"/>
    <col min="6" max="6" width="11" bestFit="1" customWidth="1"/>
    <col min="7" max="7" width="10" bestFit="1" customWidth="1"/>
  </cols>
  <sheetData>
    <row r="1" spans="1:7" x14ac:dyDescent="0.25">
      <c r="A1" s="3" t="s">
        <v>72</v>
      </c>
      <c r="B1" s="3" t="s">
        <v>73</v>
      </c>
      <c r="C1" s="3" t="s">
        <v>74</v>
      </c>
      <c r="D1" s="3" t="s">
        <v>148</v>
      </c>
      <c r="E1" s="3" t="s">
        <v>75</v>
      </c>
      <c r="F1" s="3" t="s">
        <v>69</v>
      </c>
      <c r="G1" s="3" t="s">
        <v>84</v>
      </c>
    </row>
    <row r="2" spans="1:7" x14ac:dyDescent="0.25">
      <c r="A2" s="2">
        <v>43374</v>
      </c>
      <c r="B2" s="1">
        <v>1</v>
      </c>
      <c r="C2" s="1" t="s">
        <v>76</v>
      </c>
      <c r="D2" s="1">
        <v>10</v>
      </c>
      <c r="E2" s="1">
        <v>37</v>
      </c>
      <c r="F2" t="s">
        <v>66</v>
      </c>
      <c r="G2">
        <v>37</v>
      </c>
    </row>
    <row r="3" spans="1:7" x14ac:dyDescent="0.25">
      <c r="A3" s="2">
        <v>43374.000694444447</v>
      </c>
      <c r="B3" s="1">
        <v>1</v>
      </c>
      <c r="C3" s="1" t="s">
        <v>76</v>
      </c>
      <c r="D3" s="1">
        <v>10</v>
      </c>
      <c r="E3" s="1">
        <v>38</v>
      </c>
      <c r="F3" t="s">
        <v>66</v>
      </c>
      <c r="G3">
        <v>38</v>
      </c>
    </row>
    <row r="4" spans="1:7" x14ac:dyDescent="0.25">
      <c r="A4" s="2">
        <v>43374.001388888886</v>
      </c>
      <c r="B4" s="1">
        <v>1</v>
      </c>
      <c r="C4" s="1" t="s">
        <v>76</v>
      </c>
      <c r="D4" s="1">
        <v>10</v>
      </c>
      <c r="E4" s="1">
        <v>39</v>
      </c>
      <c r="F4" t="s">
        <v>66</v>
      </c>
      <c r="G4">
        <v>39</v>
      </c>
    </row>
    <row r="5" spans="1:7" x14ac:dyDescent="0.25">
      <c r="A5" s="2">
        <v>43374.002083333333</v>
      </c>
      <c r="B5" s="1">
        <v>1</v>
      </c>
      <c r="C5" s="1" t="s">
        <v>76</v>
      </c>
      <c r="D5" s="1">
        <v>10</v>
      </c>
      <c r="E5" s="1">
        <v>40</v>
      </c>
      <c r="F5" t="s">
        <v>66</v>
      </c>
      <c r="G5">
        <v>40</v>
      </c>
    </row>
    <row r="6" spans="1:7" x14ac:dyDescent="0.25">
      <c r="A6" s="2">
        <v>43374.00277777778</v>
      </c>
      <c r="B6" s="1">
        <v>1</v>
      </c>
      <c r="C6" s="1" t="s">
        <v>76</v>
      </c>
      <c r="D6" s="1">
        <v>10</v>
      </c>
      <c r="E6" s="1">
        <v>41</v>
      </c>
      <c r="F6" t="s">
        <v>66</v>
      </c>
      <c r="G6">
        <v>41</v>
      </c>
    </row>
    <row r="7" spans="1:7" x14ac:dyDescent="0.25">
      <c r="A7" s="2">
        <v>43374.003472222219</v>
      </c>
      <c r="B7" s="1">
        <v>1</v>
      </c>
      <c r="C7" s="1" t="s">
        <v>76</v>
      </c>
      <c r="D7" s="1">
        <v>10</v>
      </c>
      <c r="E7" s="1">
        <v>42</v>
      </c>
      <c r="F7" t="s">
        <v>66</v>
      </c>
      <c r="G7">
        <v>42</v>
      </c>
    </row>
    <row r="8" spans="1:7" x14ac:dyDescent="0.25">
      <c r="A8" s="2">
        <v>43374.004166666666</v>
      </c>
      <c r="B8" s="1">
        <v>1</v>
      </c>
      <c r="C8" s="1" t="s">
        <v>76</v>
      </c>
      <c r="D8" s="1">
        <v>10</v>
      </c>
      <c r="E8" s="1">
        <v>43</v>
      </c>
      <c r="F8" t="s">
        <v>66</v>
      </c>
      <c r="G8">
        <v>43</v>
      </c>
    </row>
    <row r="9" spans="1:7" x14ac:dyDescent="0.25">
      <c r="A9" s="2">
        <v>43374.004861111112</v>
      </c>
      <c r="B9" s="1">
        <v>2</v>
      </c>
      <c r="C9" s="1" t="s">
        <v>77</v>
      </c>
      <c r="D9" s="1">
        <v>10</v>
      </c>
      <c r="E9" s="1">
        <v>37</v>
      </c>
      <c r="F9" t="s">
        <v>67</v>
      </c>
      <c r="G9">
        <v>37</v>
      </c>
    </row>
    <row r="10" spans="1:7" x14ac:dyDescent="0.25">
      <c r="A10" s="2">
        <v>43374.005555555559</v>
      </c>
      <c r="B10" s="1">
        <v>2</v>
      </c>
      <c r="C10" s="1" t="s">
        <v>77</v>
      </c>
      <c r="D10" s="1">
        <v>10</v>
      </c>
      <c r="E10" s="1">
        <v>38</v>
      </c>
      <c r="F10" t="s">
        <v>67</v>
      </c>
      <c r="G10">
        <v>38</v>
      </c>
    </row>
    <row r="11" spans="1:7" x14ac:dyDescent="0.25">
      <c r="A11" s="2">
        <v>43374.006249999999</v>
      </c>
      <c r="B11" s="1">
        <v>2</v>
      </c>
      <c r="C11" s="1" t="s">
        <v>77</v>
      </c>
      <c r="D11" s="1">
        <v>10</v>
      </c>
      <c r="E11" s="1">
        <v>39</v>
      </c>
      <c r="F11" t="s">
        <v>67</v>
      </c>
      <c r="G11">
        <v>39</v>
      </c>
    </row>
    <row r="12" spans="1:7" x14ac:dyDescent="0.25">
      <c r="A12" s="2">
        <v>43374.006944444445</v>
      </c>
      <c r="B12" s="1">
        <v>2</v>
      </c>
      <c r="C12" s="1" t="s">
        <v>77</v>
      </c>
      <c r="D12" s="1">
        <v>10</v>
      </c>
      <c r="E12" s="1">
        <v>40</v>
      </c>
      <c r="F12" t="s">
        <v>67</v>
      </c>
      <c r="G12">
        <v>40</v>
      </c>
    </row>
    <row r="13" spans="1:7" x14ac:dyDescent="0.25">
      <c r="A13" s="2">
        <v>43374.007638888892</v>
      </c>
      <c r="B13" s="1">
        <v>2</v>
      </c>
      <c r="C13" s="1" t="s">
        <v>77</v>
      </c>
      <c r="D13" s="1">
        <v>10</v>
      </c>
      <c r="E13" s="1">
        <v>41</v>
      </c>
      <c r="F13" t="s">
        <v>67</v>
      </c>
      <c r="G13">
        <v>41</v>
      </c>
    </row>
    <row r="14" spans="1:7" x14ac:dyDescent="0.25">
      <c r="A14" s="2">
        <v>43374.008333333331</v>
      </c>
      <c r="B14" s="1">
        <v>2</v>
      </c>
      <c r="C14" s="1" t="s">
        <v>77</v>
      </c>
      <c r="D14" s="1">
        <v>10</v>
      </c>
      <c r="E14" s="1">
        <v>42</v>
      </c>
      <c r="F14" t="s">
        <v>67</v>
      </c>
      <c r="G14">
        <v>42</v>
      </c>
    </row>
    <row r="15" spans="1:7" x14ac:dyDescent="0.25">
      <c r="A15" s="2">
        <v>43374.009027777778</v>
      </c>
      <c r="B15" s="1">
        <v>2</v>
      </c>
      <c r="C15" s="1" t="s">
        <v>77</v>
      </c>
      <c r="D15" s="1">
        <v>10</v>
      </c>
      <c r="E15" s="1">
        <v>43</v>
      </c>
      <c r="F15" t="s">
        <v>67</v>
      </c>
      <c r="G15">
        <v>43</v>
      </c>
    </row>
    <row r="16" spans="1:7" x14ac:dyDescent="0.25">
      <c r="A16" s="2">
        <v>43374.009722222225</v>
      </c>
      <c r="B16" s="1">
        <v>3</v>
      </c>
      <c r="C16" s="1" t="s">
        <v>78</v>
      </c>
      <c r="D16" s="1">
        <v>10</v>
      </c>
      <c r="E16" s="1">
        <v>37</v>
      </c>
      <c r="F16" t="s">
        <v>68</v>
      </c>
      <c r="G16">
        <v>37</v>
      </c>
    </row>
    <row r="17" spans="1:7" x14ac:dyDescent="0.25">
      <c r="A17" s="2">
        <v>43374.010416666664</v>
      </c>
      <c r="B17" s="1">
        <v>3</v>
      </c>
      <c r="C17" s="1" t="s">
        <v>78</v>
      </c>
      <c r="D17" s="1">
        <v>10</v>
      </c>
      <c r="E17" s="1">
        <v>38</v>
      </c>
      <c r="F17" t="s">
        <v>68</v>
      </c>
      <c r="G17">
        <v>38</v>
      </c>
    </row>
    <row r="18" spans="1:7" x14ac:dyDescent="0.25">
      <c r="A18" s="2">
        <v>43374.011111111111</v>
      </c>
      <c r="B18" s="1">
        <v>3</v>
      </c>
      <c r="C18" s="1" t="s">
        <v>78</v>
      </c>
      <c r="D18" s="1">
        <v>10</v>
      </c>
      <c r="E18" s="1">
        <v>39</v>
      </c>
      <c r="F18" t="s">
        <v>68</v>
      </c>
      <c r="G18">
        <v>39</v>
      </c>
    </row>
    <row r="19" spans="1:7" x14ac:dyDescent="0.25">
      <c r="A19" s="2">
        <v>43374.011805555558</v>
      </c>
      <c r="B19" s="1">
        <v>3</v>
      </c>
      <c r="C19" s="1" t="s">
        <v>78</v>
      </c>
      <c r="D19" s="1">
        <v>10</v>
      </c>
      <c r="E19" s="1">
        <v>40</v>
      </c>
      <c r="F19" t="s">
        <v>68</v>
      </c>
      <c r="G19">
        <v>40</v>
      </c>
    </row>
    <row r="20" spans="1:7" x14ac:dyDescent="0.25">
      <c r="A20" s="2">
        <v>43374.012499999997</v>
      </c>
      <c r="B20" s="1">
        <v>3</v>
      </c>
      <c r="C20" s="1" t="s">
        <v>78</v>
      </c>
      <c r="D20" s="1">
        <v>10</v>
      </c>
      <c r="E20" s="1">
        <v>41</v>
      </c>
      <c r="F20" t="s">
        <v>68</v>
      </c>
      <c r="G20">
        <v>41</v>
      </c>
    </row>
    <row r="21" spans="1:7" x14ac:dyDescent="0.25">
      <c r="A21" s="2">
        <v>43374.013194444444</v>
      </c>
      <c r="B21" s="1">
        <v>3</v>
      </c>
      <c r="C21" s="1" t="s">
        <v>78</v>
      </c>
      <c r="D21" s="1">
        <v>10</v>
      </c>
      <c r="E21" s="1">
        <v>42</v>
      </c>
      <c r="F21" t="s">
        <v>68</v>
      </c>
      <c r="G21">
        <v>42</v>
      </c>
    </row>
    <row r="22" spans="1:7" x14ac:dyDescent="0.25">
      <c r="A22" s="2">
        <v>43374.013888888891</v>
      </c>
      <c r="B22" s="1">
        <v>3</v>
      </c>
      <c r="C22" s="1" t="s">
        <v>78</v>
      </c>
      <c r="D22" s="1">
        <v>10</v>
      </c>
      <c r="E22" s="1">
        <v>43</v>
      </c>
      <c r="F22" t="s">
        <v>68</v>
      </c>
      <c r="G22">
        <v>43</v>
      </c>
    </row>
  </sheetData>
  <autoFilter ref="A1:G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G22"/>
  <sheetViews>
    <sheetView zoomScale="190" zoomScaleNormal="190" workbookViewId="0">
      <selection activeCell="E18" sqref="E18"/>
    </sheetView>
  </sheetViews>
  <sheetFormatPr defaultRowHeight="15" x14ac:dyDescent="0.25"/>
  <cols>
    <col min="1" max="1" width="15.85546875" style="1" bestFit="1" customWidth="1"/>
    <col min="2" max="2" width="13.42578125" style="1" bestFit="1" customWidth="1"/>
    <col min="3" max="3" width="11.140625" style="1" bestFit="1" customWidth="1"/>
    <col min="4" max="4" width="10.28515625" style="1" bestFit="1" customWidth="1"/>
    <col min="5" max="5" width="12.28515625" style="1" bestFit="1" customWidth="1"/>
    <col min="6" max="6" width="12.85546875" style="1" bestFit="1" customWidth="1"/>
    <col min="7" max="16384" width="9.140625" style="1"/>
  </cols>
  <sheetData>
    <row r="1" spans="1:7" x14ac:dyDescent="0.25">
      <c r="A1" s="3" t="s">
        <v>72</v>
      </c>
      <c r="B1" s="3" t="s">
        <v>73</v>
      </c>
      <c r="C1" s="3" t="s">
        <v>74</v>
      </c>
      <c r="D1" s="3" t="s">
        <v>75</v>
      </c>
      <c r="E1" s="3" t="s">
        <v>150</v>
      </c>
      <c r="F1" s="1" t="s">
        <v>151</v>
      </c>
      <c r="G1" s="3" t="s">
        <v>149</v>
      </c>
    </row>
    <row r="2" spans="1:7" x14ac:dyDescent="0.25">
      <c r="A2" s="2">
        <v>43374</v>
      </c>
      <c r="B2" s="1">
        <v>1</v>
      </c>
      <c r="C2" s="1" t="s">
        <v>76</v>
      </c>
      <c r="D2" s="1">
        <v>37</v>
      </c>
    </row>
    <row r="3" spans="1:7" x14ac:dyDescent="0.25">
      <c r="A3" s="2">
        <v>43374.000694444447</v>
      </c>
      <c r="B3" s="1">
        <v>1</v>
      </c>
      <c r="C3" s="1" t="s">
        <v>76</v>
      </c>
      <c r="D3" s="1">
        <v>38</v>
      </c>
    </row>
    <row r="4" spans="1:7" x14ac:dyDescent="0.25">
      <c r="A4" s="2">
        <v>43374.001388888886</v>
      </c>
      <c r="B4" s="1">
        <v>1</v>
      </c>
      <c r="C4" s="1" t="s">
        <v>76</v>
      </c>
      <c r="D4" s="1">
        <v>39</v>
      </c>
    </row>
    <row r="5" spans="1:7" x14ac:dyDescent="0.25">
      <c r="A5" s="2">
        <v>43374.002083333333</v>
      </c>
      <c r="B5" s="1">
        <v>1</v>
      </c>
      <c r="C5" s="1" t="s">
        <v>76</v>
      </c>
      <c r="D5" s="1">
        <v>40</v>
      </c>
    </row>
    <row r="6" spans="1:7" x14ac:dyDescent="0.25">
      <c r="A6" s="2">
        <v>43374.00277777778</v>
      </c>
      <c r="B6" s="1">
        <v>1</v>
      </c>
      <c r="C6" s="1" t="s">
        <v>76</v>
      </c>
      <c r="D6" s="1">
        <v>41</v>
      </c>
    </row>
    <row r="7" spans="1:7" x14ac:dyDescent="0.25">
      <c r="A7" s="2">
        <v>43374.003472222219</v>
      </c>
      <c r="B7" s="1">
        <v>1</v>
      </c>
      <c r="C7" s="1" t="s">
        <v>76</v>
      </c>
      <c r="D7" s="1">
        <v>42</v>
      </c>
    </row>
    <row r="8" spans="1:7" x14ac:dyDescent="0.25">
      <c r="A8" s="2">
        <v>43374.004166666666</v>
      </c>
      <c r="B8" s="1">
        <v>1</v>
      </c>
      <c r="C8" s="1" t="s">
        <v>76</v>
      </c>
      <c r="D8" s="1">
        <v>43</v>
      </c>
    </row>
    <row r="9" spans="1:7" x14ac:dyDescent="0.25">
      <c r="A9" s="2">
        <v>43374.004861111112</v>
      </c>
      <c r="B9" s="1">
        <v>2</v>
      </c>
      <c r="C9" s="1" t="s">
        <v>77</v>
      </c>
      <c r="D9" s="1">
        <v>37</v>
      </c>
    </row>
    <row r="10" spans="1:7" x14ac:dyDescent="0.25">
      <c r="A10" s="2">
        <v>43374.005555555559</v>
      </c>
      <c r="B10" s="1">
        <v>2</v>
      </c>
      <c r="C10" s="1" t="s">
        <v>77</v>
      </c>
      <c r="D10" s="1">
        <v>38</v>
      </c>
    </row>
    <row r="11" spans="1:7" x14ac:dyDescent="0.25">
      <c r="A11" s="2">
        <v>43374.006249999999</v>
      </c>
      <c r="B11" s="1">
        <v>2</v>
      </c>
      <c r="C11" s="1" t="s">
        <v>77</v>
      </c>
      <c r="D11" s="1">
        <v>39</v>
      </c>
    </row>
    <row r="12" spans="1:7" x14ac:dyDescent="0.25">
      <c r="A12" s="2">
        <v>43374.006944444445</v>
      </c>
      <c r="B12" s="1">
        <v>2</v>
      </c>
      <c r="C12" s="1" t="s">
        <v>77</v>
      </c>
      <c r="D12" s="1">
        <v>40</v>
      </c>
    </row>
    <row r="13" spans="1:7" x14ac:dyDescent="0.25">
      <c r="A13" s="2">
        <v>43374.007638888892</v>
      </c>
      <c r="B13" s="1">
        <v>2</v>
      </c>
      <c r="C13" s="1" t="s">
        <v>77</v>
      </c>
      <c r="D13" s="1">
        <v>41</v>
      </c>
    </row>
    <row r="14" spans="1:7" x14ac:dyDescent="0.25">
      <c r="A14" s="2">
        <v>43374.008333333331</v>
      </c>
      <c r="B14" s="1">
        <v>2</v>
      </c>
      <c r="C14" s="1" t="s">
        <v>77</v>
      </c>
      <c r="D14" s="1">
        <v>42</v>
      </c>
    </row>
    <row r="15" spans="1:7" x14ac:dyDescent="0.25">
      <c r="A15" s="2">
        <v>43374.009027777778</v>
      </c>
      <c r="B15" s="1">
        <v>2</v>
      </c>
      <c r="C15" s="1" t="s">
        <v>77</v>
      </c>
      <c r="D15" s="1">
        <v>43</v>
      </c>
    </row>
    <row r="16" spans="1:7" x14ac:dyDescent="0.25">
      <c r="A16" s="2">
        <v>43374.009722222225</v>
      </c>
      <c r="B16" s="1">
        <v>3</v>
      </c>
      <c r="C16" s="1" t="s">
        <v>78</v>
      </c>
      <c r="D16" s="1">
        <v>37</v>
      </c>
    </row>
    <row r="17" spans="1:4" x14ac:dyDescent="0.25">
      <c r="A17" s="2">
        <v>43374.010416666664</v>
      </c>
      <c r="B17" s="1">
        <v>3</v>
      </c>
      <c r="C17" s="1" t="s">
        <v>78</v>
      </c>
      <c r="D17" s="1">
        <v>38</v>
      </c>
    </row>
    <row r="18" spans="1:4" x14ac:dyDescent="0.25">
      <c r="A18" s="2">
        <v>43374.011111111111</v>
      </c>
      <c r="B18" s="1">
        <v>3</v>
      </c>
      <c r="C18" s="1" t="s">
        <v>78</v>
      </c>
      <c r="D18" s="1">
        <v>39</v>
      </c>
    </row>
    <row r="19" spans="1:4" x14ac:dyDescent="0.25">
      <c r="A19" s="2">
        <v>43374.011805555558</v>
      </c>
      <c r="B19" s="1">
        <v>3</v>
      </c>
      <c r="C19" s="1" t="s">
        <v>78</v>
      </c>
      <c r="D19" s="1">
        <v>40</v>
      </c>
    </row>
    <row r="20" spans="1:4" x14ac:dyDescent="0.25">
      <c r="A20" s="2">
        <v>43374.012499999997</v>
      </c>
      <c r="B20" s="1">
        <v>3</v>
      </c>
      <c r="C20" s="1" t="s">
        <v>78</v>
      </c>
      <c r="D20" s="1">
        <v>41</v>
      </c>
    </row>
    <row r="21" spans="1:4" x14ac:dyDescent="0.25">
      <c r="A21" s="2">
        <v>43374.013194444444</v>
      </c>
      <c r="B21" s="1">
        <v>3</v>
      </c>
      <c r="C21" s="1" t="s">
        <v>78</v>
      </c>
      <c r="D21" s="1">
        <v>42</v>
      </c>
    </row>
    <row r="22" spans="1:4" x14ac:dyDescent="0.25">
      <c r="A22" s="2">
        <v>43374.013888888891</v>
      </c>
      <c r="B22" s="1">
        <v>3</v>
      </c>
      <c r="C22" s="1" t="s">
        <v>78</v>
      </c>
      <c r="D22" s="1">
        <v>43</v>
      </c>
    </row>
  </sheetData>
  <autoFilter ref="A1:F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4"/>
  <sheetViews>
    <sheetView workbookViewId="0">
      <selection activeCell="E2" sqref="E1:E2"/>
    </sheetView>
  </sheetViews>
  <sheetFormatPr defaultRowHeight="15" x14ac:dyDescent="0.25"/>
  <cols>
    <col min="1" max="1" width="5.140625" bestFit="1" customWidth="1"/>
    <col min="2" max="2" width="26" customWidth="1"/>
    <col min="3" max="3" width="18" bestFit="1" customWidth="1"/>
    <col min="4" max="4" width="13.7109375" bestFit="1" customWidth="1"/>
    <col min="5" max="5" width="18" style="1" bestFit="1" customWidth="1"/>
    <col min="6" max="6" width="10.7109375" bestFit="1" customWidth="1"/>
  </cols>
  <sheetData>
    <row r="1" spans="1:7" x14ac:dyDescent="0.25">
      <c r="A1" s="3" t="s">
        <v>0</v>
      </c>
      <c r="B1" s="3" t="s">
        <v>62</v>
      </c>
      <c r="C1" s="3" t="s">
        <v>63</v>
      </c>
      <c r="D1" s="3" t="s">
        <v>74</v>
      </c>
      <c r="E1" s="3" t="s">
        <v>101</v>
      </c>
      <c r="F1" s="3" t="s">
        <v>64</v>
      </c>
    </row>
    <row r="2" spans="1:7" x14ac:dyDescent="0.25">
      <c r="A2">
        <v>1</v>
      </c>
      <c r="B2" s="1" t="str">
        <f t="shared" ref="B2:B35" si="0">"Input@"&amp;C2</f>
        <v>Input@P_Cintar</v>
      </c>
      <c r="C2" s="1" t="s">
        <v>115</v>
      </c>
      <c r="D2" s="1" t="s">
        <v>76</v>
      </c>
      <c r="E2" s="1" t="s">
        <v>85</v>
      </c>
      <c r="F2" s="1">
        <v>0</v>
      </c>
      <c r="G2" s="1"/>
    </row>
    <row r="3" spans="1:7" x14ac:dyDescent="0.25">
      <c r="A3">
        <v>2</v>
      </c>
      <c r="B3" s="1" t="str">
        <f t="shared" si="0"/>
        <v>Input@P_MeterForma</v>
      </c>
      <c r="C3" s="1" t="s">
        <v>116</v>
      </c>
      <c r="D3" s="1" t="s">
        <v>76</v>
      </c>
      <c r="E3" s="1" t="s">
        <v>86</v>
      </c>
      <c r="F3" s="1">
        <v>0</v>
      </c>
      <c r="G3" s="1"/>
    </row>
    <row r="4" spans="1:7" x14ac:dyDescent="0.25">
      <c r="A4">
        <v>3</v>
      </c>
      <c r="B4" s="1" t="str">
        <f t="shared" si="0"/>
        <v>Input@P_Forno</v>
      </c>
      <c r="C4" s="1" t="s">
        <v>117</v>
      </c>
      <c r="D4" s="1" t="s">
        <v>76</v>
      </c>
      <c r="E4" s="1" t="s">
        <v>134</v>
      </c>
      <c r="F4" s="1">
        <v>0</v>
      </c>
      <c r="G4" s="1"/>
    </row>
    <row r="5" spans="1:7" x14ac:dyDescent="0.25">
      <c r="A5" s="1">
        <v>4</v>
      </c>
      <c r="B5" s="1" t="str">
        <f t="shared" si="0"/>
        <v>Input@P_HBicos</v>
      </c>
      <c r="C5" s="1" t="s">
        <v>118</v>
      </c>
      <c r="D5" s="1" t="s">
        <v>76</v>
      </c>
      <c r="E5" s="1" t="s">
        <v>95</v>
      </c>
      <c r="F5" s="1">
        <v>0</v>
      </c>
      <c r="G5" s="1"/>
    </row>
    <row r="6" spans="1:7" x14ac:dyDescent="0.25">
      <c r="A6" s="1">
        <v>5</v>
      </c>
      <c r="B6" s="1" t="str">
        <f t="shared" si="0"/>
        <v>Input@P_MontarBicos</v>
      </c>
      <c r="C6" s="1" t="s">
        <v>119</v>
      </c>
      <c r="D6" s="1" t="s">
        <v>76</v>
      </c>
      <c r="E6" s="1" t="s">
        <v>58</v>
      </c>
      <c r="F6" s="1">
        <v>0</v>
      </c>
      <c r="G6" s="1"/>
    </row>
    <row r="7" spans="1:7" x14ac:dyDescent="0.25">
      <c r="A7" s="1">
        <v>6</v>
      </c>
      <c r="B7" s="1" t="str">
        <f t="shared" si="0"/>
        <v>Input@P_HCalcanheira</v>
      </c>
      <c r="C7" s="1" t="s">
        <v>120</v>
      </c>
      <c r="D7" s="1" t="s">
        <v>76</v>
      </c>
      <c r="E7" s="1" t="s">
        <v>96</v>
      </c>
      <c r="F7" s="1">
        <v>0</v>
      </c>
      <c r="G7" s="1"/>
    </row>
    <row r="8" spans="1:7" x14ac:dyDescent="0.25">
      <c r="A8" s="1">
        <v>7</v>
      </c>
      <c r="B8" s="1" t="str">
        <f t="shared" si="0"/>
        <v>Input@P_MontarCalcanheira</v>
      </c>
      <c r="C8" s="1" t="s">
        <v>121</v>
      </c>
      <c r="D8" s="1" t="s">
        <v>76</v>
      </c>
      <c r="E8" s="1" t="s">
        <v>56</v>
      </c>
      <c r="F8" s="1">
        <v>0</v>
      </c>
      <c r="G8" s="1"/>
    </row>
    <row r="9" spans="1:7" x14ac:dyDescent="0.25">
      <c r="A9" s="1">
        <v>8</v>
      </c>
      <c r="B9" s="1" t="str">
        <f t="shared" si="0"/>
        <v>Input@P_Forno4</v>
      </c>
      <c r="C9" s="1" t="s">
        <v>122</v>
      </c>
      <c r="D9" s="1" t="s">
        <v>76</v>
      </c>
      <c r="E9" s="1" t="s">
        <v>87</v>
      </c>
      <c r="F9" s="1">
        <v>0</v>
      </c>
      <c r="G9" s="1"/>
    </row>
    <row r="10" spans="1:7" s="1" customFormat="1" x14ac:dyDescent="0.25">
      <c r="A10" s="1">
        <v>9</v>
      </c>
      <c r="B10" s="1" t="str">
        <f t="shared" ref="B10" si="1">"Input@"&amp;C10</f>
        <v>Input@P_Riscar</v>
      </c>
      <c r="C10" s="1" t="s">
        <v>123</v>
      </c>
      <c r="D10" s="1" t="s">
        <v>76</v>
      </c>
      <c r="E10" s="1" t="s">
        <v>88</v>
      </c>
      <c r="F10" s="1">
        <v>0</v>
      </c>
    </row>
    <row r="11" spans="1:7" x14ac:dyDescent="0.25">
      <c r="A11" s="1">
        <v>10</v>
      </c>
      <c r="B11" s="1" t="str">
        <f t="shared" si="0"/>
        <v>Input@P_Cardar1</v>
      </c>
      <c r="C11" s="1" t="s">
        <v>141</v>
      </c>
      <c r="D11" s="1" t="s">
        <v>76</v>
      </c>
      <c r="E11" s="1" t="s">
        <v>142</v>
      </c>
      <c r="F11" s="1">
        <v>0</v>
      </c>
      <c r="G11" s="1"/>
    </row>
    <row r="12" spans="1:7" x14ac:dyDescent="0.25">
      <c r="A12" s="1">
        <v>11</v>
      </c>
      <c r="B12" s="1" t="str">
        <f t="shared" si="0"/>
        <v>Input@P_ColarSola</v>
      </c>
      <c r="C12" s="1" t="s">
        <v>124</v>
      </c>
      <c r="D12" s="1" t="s">
        <v>76</v>
      </c>
      <c r="E12" s="1" t="s">
        <v>98</v>
      </c>
      <c r="F12" s="1">
        <v>0</v>
      </c>
      <c r="G12" s="1"/>
    </row>
    <row r="13" spans="1:7" s="1" customFormat="1" x14ac:dyDescent="0.25">
      <c r="A13" s="1">
        <v>12</v>
      </c>
      <c r="B13" s="1" t="str">
        <f t="shared" si="0"/>
        <v>Input@P_Cardar2</v>
      </c>
      <c r="C13" s="1" t="s">
        <v>140</v>
      </c>
      <c r="D13" s="1" t="s">
        <v>76</v>
      </c>
      <c r="E13" s="1" t="s">
        <v>143</v>
      </c>
      <c r="F13" s="1">
        <v>0</v>
      </c>
    </row>
    <row r="14" spans="1:7" x14ac:dyDescent="0.25">
      <c r="A14" s="1">
        <v>13</v>
      </c>
      <c r="B14" s="1" t="str">
        <f t="shared" si="0"/>
        <v>Input@P_CardarLateral</v>
      </c>
      <c r="C14" s="1" t="s">
        <v>125</v>
      </c>
      <c r="D14" s="1" t="s">
        <v>76</v>
      </c>
      <c r="E14" s="1" t="s">
        <v>94</v>
      </c>
      <c r="F14" s="1">
        <v>0</v>
      </c>
      <c r="G14" s="1"/>
    </row>
    <row r="15" spans="1:7" x14ac:dyDescent="0.25">
      <c r="A15" s="1">
        <v>14</v>
      </c>
      <c r="B15" s="1" t="str">
        <f t="shared" si="0"/>
        <v>Input@P_PreDarCola</v>
      </c>
      <c r="C15" s="1" t="s">
        <v>126</v>
      </c>
      <c r="D15" s="1" t="s">
        <v>76</v>
      </c>
      <c r="E15" s="1" t="s">
        <v>89</v>
      </c>
      <c r="F15" s="1">
        <v>0</v>
      </c>
      <c r="G15" s="1"/>
    </row>
    <row r="16" spans="1:7" x14ac:dyDescent="0.25">
      <c r="A16" s="1">
        <v>15</v>
      </c>
      <c r="B16" s="1" t="str">
        <f t="shared" si="0"/>
        <v>Input@P_DarCola</v>
      </c>
      <c r="C16" s="1" t="s">
        <v>127</v>
      </c>
      <c r="D16" s="1" t="s">
        <v>76</v>
      </c>
      <c r="E16" s="1" t="s">
        <v>57</v>
      </c>
      <c r="F16" s="1">
        <v>0</v>
      </c>
      <c r="G16" s="1"/>
    </row>
    <row r="17" spans="1:7" x14ac:dyDescent="0.25">
      <c r="A17" s="1">
        <v>16</v>
      </c>
      <c r="B17" s="1" t="str">
        <f t="shared" si="0"/>
        <v>Input@P_FornoReativador</v>
      </c>
      <c r="C17" s="1" t="s">
        <v>128</v>
      </c>
      <c r="D17" s="1" t="s">
        <v>76</v>
      </c>
      <c r="E17" s="1" t="s">
        <v>90</v>
      </c>
      <c r="F17" s="1">
        <v>0</v>
      </c>
      <c r="G17" s="1"/>
    </row>
    <row r="18" spans="1:7" x14ac:dyDescent="0.25">
      <c r="A18" s="1">
        <v>17</v>
      </c>
      <c r="B18" s="1" t="str">
        <f t="shared" si="0"/>
        <v>Input@P_Prensar</v>
      </c>
      <c r="C18" s="1" t="s">
        <v>129</v>
      </c>
      <c r="D18" s="1" t="s">
        <v>76</v>
      </c>
      <c r="E18" s="1" t="s">
        <v>91</v>
      </c>
      <c r="F18" s="1">
        <v>0</v>
      </c>
      <c r="G18" s="1"/>
    </row>
    <row r="19" spans="1:7" x14ac:dyDescent="0.25">
      <c r="A19" s="1">
        <v>18</v>
      </c>
      <c r="B19" s="1" t="str">
        <f t="shared" si="0"/>
        <v>Input@P_Limpar</v>
      </c>
      <c r="C19" s="1" t="s">
        <v>130</v>
      </c>
      <c r="D19" s="1" t="s">
        <v>76</v>
      </c>
      <c r="E19" s="1" t="s">
        <v>92</v>
      </c>
      <c r="F19" s="1">
        <v>0</v>
      </c>
      <c r="G19" s="1"/>
    </row>
    <row r="20" spans="1:7" x14ac:dyDescent="0.25">
      <c r="A20" s="1">
        <v>19</v>
      </c>
      <c r="B20" s="1" t="str">
        <f t="shared" si="0"/>
        <v>Input@P_CFrio</v>
      </c>
      <c r="C20" s="1" t="s">
        <v>131</v>
      </c>
      <c r="D20" s="1" t="s">
        <v>76</v>
      </c>
      <c r="E20" s="1" t="s">
        <v>93</v>
      </c>
      <c r="F20" s="1">
        <v>0</v>
      </c>
      <c r="G20" s="1"/>
    </row>
    <row r="21" spans="1:7" x14ac:dyDescent="0.25">
      <c r="A21" s="1">
        <v>20</v>
      </c>
      <c r="B21" s="1" t="str">
        <f t="shared" si="0"/>
        <v>Input@P_DesenformarA</v>
      </c>
      <c r="C21" s="1" t="s">
        <v>132</v>
      </c>
      <c r="D21" s="1" t="s">
        <v>76</v>
      </c>
      <c r="E21" s="1" t="s">
        <v>99</v>
      </c>
      <c r="F21" s="1">
        <v>0</v>
      </c>
      <c r="G21" s="1"/>
    </row>
    <row r="22" spans="1:7" x14ac:dyDescent="0.25">
      <c r="A22" s="1">
        <v>21</v>
      </c>
      <c r="B22" s="1" t="str">
        <f t="shared" si="0"/>
        <v>Input@P_DesenformarM</v>
      </c>
      <c r="C22" s="1" t="s">
        <v>133</v>
      </c>
      <c r="D22" s="1" t="s">
        <v>76</v>
      </c>
      <c r="E22" s="1" t="s">
        <v>100</v>
      </c>
      <c r="F22" s="1">
        <v>0</v>
      </c>
      <c r="G22" s="1"/>
    </row>
    <row r="23" spans="1:7" x14ac:dyDescent="0.25">
      <c r="A23" s="1">
        <v>22</v>
      </c>
      <c r="B23" s="1" t="str">
        <f t="shared" si="0"/>
        <v>Input@P_Cintar</v>
      </c>
      <c r="C23" s="1" t="s">
        <v>115</v>
      </c>
      <c r="D23" s="1" t="s">
        <v>77</v>
      </c>
      <c r="E23" s="1" t="s">
        <v>85</v>
      </c>
      <c r="F23" s="1">
        <v>0</v>
      </c>
    </row>
    <row r="24" spans="1:7" x14ac:dyDescent="0.25">
      <c r="A24" s="1">
        <v>23</v>
      </c>
      <c r="B24" s="1" t="str">
        <f t="shared" si="0"/>
        <v>Input@P_MeterForma</v>
      </c>
      <c r="C24" s="1" t="s">
        <v>116</v>
      </c>
      <c r="D24" s="1" t="s">
        <v>77</v>
      </c>
      <c r="E24" s="1" t="s">
        <v>86</v>
      </c>
      <c r="F24" s="1">
        <v>0</v>
      </c>
    </row>
    <row r="25" spans="1:7" x14ac:dyDescent="0.25">
      <c r="A25" s="1">
        <v>24</v>
      </c>
      <c r="B25" s="1" t="str">
        <f t="shared" si="0"/>
        <v>Input@P_Forno</v>
      </c>
      <c r="C25" s="1" t="s">
        <v>117</v>
      </c>
      <c r="D25" s="1" t="s">
        <v>77</v>
      </c>
      <c r="E25" s="1" t="s">
        <v>134</v>
      </c>
      <c r="F25" s="1">
        <v>0</v>
      </c>
    </row>
    <row r="26" spans="1:7" x14ac:dyDescent="0.25">
      <c r="A26" s="1">
        <v>25</v>
      </c>
      <c r="B26" s="1" t="str">
        <f t="shared" si="0"/>
        <v>Input@P_HBicos</v>
      </c>
      <c r="C26" s="1" t="s">
        <v>118</v>
      </c>
      <c r="D26" s="1" t="s">
        <v>77</v>
      </c>
      <c r="E26" s="1" t="s">
        <v>95</v>
      </c>
      <c r="F26" s="1">
        <v>0</v>
      </c>
    </row>
    <row r="27" spans="1:7" x14ac:dyDescent="0.25">
      <c r="A27" s="1">
        <v>26</v>
      </c>
      <c r="B27" s="1" t="str">
        <f t="shared" si="0"/>
        <v>Input@P_MontarBicos</v>
      </c>
      <c r="C27" s="1" t="s">
        <v>119</v>
      </c>
      <c r="D27" s="1" t="s">
        <v>77</v>
      </c>
      <c r="E27" s="1" t="s">
        <v>58</v>
      </c>
      <c r="F27" s="1">
        <v>0</v>
      </c>
    </row>
    <row r="28" spans="1:7" x14ac:dyDescent="0.25">
      <c r="A28" s="1">
        <v>27</v>
      </c>
      <c r="B28" s="1" t="str">
        <f t="shared" si="0"/>
        <v>Input@P_HCalcanheira</v>
      </c>
      <c r="C28" s="1" t="s">
        <v>120</v>
      </c>
      <c r="D28" s="1" t="s">
        <v>77</v>
      </c>
      <c r="E28" s="1" t="s">
        <v>96</v>
      </c>
      <c r="F28" s="1">
        <v>0</v>
      </c>
    </row>
    <row r="29" spans="1:7" x14ac:dyDescent="0.25">
      <c r="A29" s="1">
        <v>28</v>
      </c>
      <c r="B29" s="1" t="str">
        <f t="shared" si="0"/>
        <v>Input@P_MontarCalcanheira</v>
      </c>
      <c r="C29" s="1" t="s">
        <v>121</v>
      </c>
      <c r="D29" s="1" t="s">
        <v>77</v>
      </c>
      <c r="E29" s="1" t="s">
        <v>56</v>
      </c>
      <c r="F29" s="1">
        <v>0</v>
      </c>
    </row>
    <row r="30" spans="1:7" x14ac:dyDescent="0.25">
      <c r="A30" s="1">
        <v>29</v>
      </c>
      <c r="B30" s="1" t="str">
        <f t="shared" si="0"/>
        <v>Input@P_Forno4</v>
      </c>
      <c r="C30" s="1" t="s">
        <v>122</v>
      </c>
      <c r="D30" s="1" t="s">
        <v>77</v>
      </c>
      <c r="E30" s="1" t="s">
        <v>87</v>
      </c>
      <c r="F30" s="1">
        <v>0</v>
      </c>
    </row>
    <row r="31" spans="1:7" x14ac:dyDescent="0.25">
      <c r="A31" s="1">
        <v>30</v>
      </c>
      <c r="B31" s="1" t="str">
        <f t="shared" si="0"/>
        <v>Input@P_Riscar</v>
      </c>
      <c r="C31" s="1" t="s">
        <v>123</v>
      </c>
      <c r="D31" s="1" t="s">
        <v>77</v>
      </c>
      <c r="E31" s="1" t="s">
        <v>88</v>
      </c>
      <c r="F31" s="1">
        <v>0</v>
      </c>
    </row>
    <row r="32" spans="1:7" x14ac:dyDescent="0.25">
      <c r="A32" s="1">
        <v>31</v>
      </c>
      <c r="B32" s="1" t="str">
        <f t="shared" si="0"/>
        <v>Input@P_Cardar1</v>
      </c>
      <c r="C32" s="1" t="s">
        <v>141</v>
      </c>
      <c r="D32" s="1" t="s">
        <v>77</v>
      </c>
      <c r="E32" s="1" t="s">
        <v>142</v>
      </c>
      <c r="F32" s="1">
        <v>0</v>
      </c>
    </row>
    <row r="33" spans="1:6" x14ac:dyDescent="0.25">
      <c r="A33" s="1">
        <v>32</v>
      </c>
      <c r="B33" s="1" t="str">
        <f t="shared" si="0"/>
        <v>Input@P_ColarSola</v>
      </c>
      <c r="C33" s="1" t="s">
        <v>124</v>
      </c>
      <c r="D33" s="1" t="s">
        <v>77</v>
      </c>
      <c r="E33" s="1" t="s">
        <v>98</v>
      </c>
      <c r="F33" s="1">
        <v>0</v>
      </c>
    </row>
    <row r="34" spans="1:6" s="1" customFormat="1" x14ac:dyDescent="0.25">
      <c r="A34" s="1">
        <v>33</v>
      </c>
      <c r="B34" s="1" t="str">
        <f t="shared" si="0"/>
        <v>Input@P_Cardar2</v>
      </c>
      <c r="C34" s="1" t="s">
        <v>140</v>
      </c>
      <c r="D34" s="1" t="s">
        <v>77</v>
      </c>
      <c r="E34" s="1" t="s">
        <v>143</v>
      </c>
      <c r="F34" s="1">
        <v>0</v>
      </c>
    </row>
    <row r="35" spans="1:6" x14ac:dyDescent="0.25">
      <c r="A35" s="1">
        <v>34</v>
      </c>
      <c r="B35" s="1" t="str">
        <f t="shared" si="0"/>
        <v>Input@P_CardarLateral</v>
      </c>
      <c r="C35" s="1" t="s">
        <v>125</v>
      </c>
      <c r="D35" s="1" t="s">
        <v>77</v>
      </c>
      <c r="E35" s="1" t="s">
        <v>94</v>
      </c>
      <c r="F35" s="1">
        <v>0</v>
      </c>
    </row>
    <row r="36" spans="1:6" x14ac:dyDescent="0.25">
      <c r="A36" s="1">
        <v>35</v>
      </c>
      <c r="B36" s="1" t="str">
        <f t="shared" ref="B36:B64" si="2">"Input@"&amp;C36</f>
        <v>Input@P_PreDarCola</v>
      </c>
      <c r="C36" s="1" t="s">
        <v>126</v>
      </c>
      <c r="D36" s="1" t="s">
        <v>77</v>
      </c>
      <c r="E36" s="1" t="s">
        <v>89</v>
      </c>
      <c r="F36" s="1">
        <v>0</v>
      </c>
    </row>
    <row r="37" spans="1:6" x14ac:dyDescent="0.25">
      <c r="A37" s="1">
        <v>36</v>
      </c>
      <c r="B37" s="1" t="str">
        <f t="shared" si="2"/>
        <v>Input@P_DarCola</v>
      </c>
      <c r="C37" s="1" t="s">
        <v>127</v>
      </c>
      <c r="D37" s="1" t="s">
        <v>77</v>
      </c>
      <c r="E37" s="1" t="s">
        <v>57</v>
      </c>
      <c r="F37" s="1">
        <v>0</v>
      </c>
    </row>
    <row r="38" spans="1:6" x14ac:dyDescent="0.25">
      <c r="A38" s="1">
        <v>37</v>
      </c>
      <c r="B38" s="1" t="str">
        <f t="shared" si="2"/>
        <v>Input@P_FornoReativador</v>
      </c>
      <c r="C38" s="1" t="s">
        <v>128</v>
      </c>
      <c r="D38" s="1" t="s">
        <v>77</v>
      </c>
      <c r="E38" s="1" t="s">
        <v>90</v>
      </c>
      <c r="F38" s="1">
        <v>0</v>
      </c>
    </row>
    <row r="39" spans="1:6" x14ac:dyDescent="0.25">
      <c r="A39" s="1">
        <v>38</v>
      </c>
      <c r="B39" s="1" t="str">
        <f t="shared" si="2"/>
        <v>Input@P_Prensar</v>
      </c>
      <c r="C39" s="1" t="s">
        <v>129</v>
      </c>
      <c r="D39" s="1" t="s">
        <v>77</v>
      </c>
      <c r="E39" s="1" t="s">
        <v>91</v>
      </c>
      <c r="F39" s="1">
        <v>0</v>
      </c>
    </row>
    <row r="40" spans="1:6" x14ac:dyDescent="0.25">
      <c r="A40" s="1">
        <v>39</v>
      </c>
      <c r="B40" s="1" t="str">
        <f t="shared" si="2"/>
        <v>Input@P_Limpar</v>
      </c>
      <c r="C40" s="1" t="s">
        <v>130</v>
      </c>
      <c r="D40" s="1" t="s">
        <v>77</v>
      </c>
      <c r="E40" s="1" t="s">
        <v>92</v>
      </c>
      <c r="F40" s="1">
        <v>0</v>
      </c>
    </row>
    <row r="41" spans="1:6" x14ac:dyDescent="0.25">
      <c r="A41" s="1">
        <v>40</v>
      </c>
      <c r="B41" s="1" t="str">
        <f t="shared" si="2"/>
        <v>Input@P_CFrio</v>
      </c>
      <c r="C41" s="1" t="s">
        <v>131</v>
      </c>
      <c r="D41" s="1" t="s">
        <v>77</v>
      </c>
      <c r="E41" s="1" t="s">
        <v>93</v>
      </c>
      <c r="F41" s="1">
        <v>0</v>
      </c>
    </row>
    <row r="42" spans="1:6" x14ac:dyDescent="0.25">
      <c r="A42" s="1">
        <v>41</v>
      </c>
      <c r="B42" s="1" t="str">
        <f t="shared" si="2"/>
        <v>Input@P_DesenformarA</v>
      </c>
      <c r="C42" s="1" t="s">
        <v>132</v>
      </c>
      <c r="D42" s="1" t="s">
        <v>77</v>
      </c>
      <c r="E42" s="1" t="s">
        <v>99</v>
      </c>
      <c r="F42" s="1">
        <v>0</v>
      </c>
    </row>
    <row r="43" spans="1:6" x14ac:dyDescent="0.25">
      <c r="A43" s="1">
        <v>42</v>
      </c>
      <c r="B43" s="1" t="str">
        <f t="shared" si="2"/>
        <v>Input@P_DesenformarM</v>
      </c>
      <c r="C43" s="1" t="s">
        <v>133</v>
      </c>
      <c r="D43" s="1" t="s">
        <v>77</v>
      </c>
      <c r="E43" s="1" t="s">
        <v>100</v>
      </c>
      <c r="F43" s="1">
        <v>0</v>
      </c>
    </row>
    <row r="44" spans="1:6" x14ac:dyDescent="0.25">
      <c r="A44" s="1">
        <v>43</v>
      </c>
      <c r="B44" s="1" t="str">
        <f t="shared" si="2"/>
        <v>Input@P_Cintar</v>
      </c>
      <c r="C44" s="1" t="s">
        <v>115</v>
      </c>
      <c r="D44" s="1" t="s">
        <v>78</v>
      </c>
      <c r="E44" s="1" t="s">
        <v>85</v>
      </c>
      <c r="F44" s="1">
        <v>0</v>
      </c>
    </row>
    <row r="45" spans="1:6" x14ac:dyDescent="0.25">
      <c r="A45" s="1">
        <v>44</v>
      </c>
      <c r="B45" s="1" t="str">
        <f t="shared" si="2"/>
        <v>Input@P_MeterForma</v>
      </c>
      <c r="C45" s="1" t="s">
        <v>116</v>
      </c>
      <c r="D45" s="1" t="s">
        <v>78</v>
      </c>
      <c r="E45" s="1" t="s">
        <v>86</v>
      </c>
      <c r="F45" s="1">
        <v>0</v>
      </c>
    </row>
    <row r="46" spans="1:6" x14ac:dyDescent="0.25">
      <c r="A46" s="1">
        <v>45</v>
      </c>
      <c r="B46" s="1" t="str">
        <f t="shared" si="2"/>
        <v>Input@P_Forno</v>
      </c>
      <c r="C46" s="1" t="s">
        <v>117</v>
      </c>
      <c r="D46" s="1" t="s">
        <v>78</v>
      </c>
      <c r="E46" s="1" t="s">
        <v>134</v>
      </c>
      <c r="F46" s="1">
        <v>0</v>
      </c>
    </row>
    <row r="47" spans="1:6" x14ac:dyDescent="0.25">
      <c r="A47" s="1">
        <v>46</v>
      </c>
      <c r="B47" s="1" t="str">
        <f t="shared" si="2"/>
        <v>Input@P_HBicos</v>
      </c>
      <c r="C47" s="1" t="s">
        <v>118</v>
      </c>
      <c r="D47" s="1" t="s">
        <v>78</v>
      </c>
      <c r="E47" s="1" t="s">
        <v>95</v>
      </c>
      <c r="F47" s="1">
        <v>0</v>
      </c>
    </row>
    <row r="48" spans="1:6" x14ac:dyDescent="0.25">
      <c r="A48" s="1">
        <v>47</v>
      </c>
      <c r="B48" s="1" t="str">
        <f t="shared" si="2"/>
        <v>Input@P_MontarBicos</v>
      </c>
      <c r="C48" s="1" t="s">
        <v>119</v>
      </c>
      <c r="D48" s="1" t="s">
        <v>78</v>
      </c>
      <c r="E48" s="1" t="s">
        <v>58</v>
      </c>
      <c r="F48" s="1">
        <v>0</v>
      </c>
    </row>
    <row r="49" spans="1:6" x14ac:dyDescent="0.25">
      <c r="A49" s="1">
        <v>48</v>
      </c>
      <c r="B49" s="1" t="str">
        <f t="shared" si="2"/>
        <v>Input@P_HCalcanheira</v>
      </c>
      <c r="C49" s="1" t="s">
        <v>120</v>
      </c>
      <c r="D49" s="1" t="s">
        <v>78</v>
      </c>
      <c r="E49" s="1" t="s">
        <v>96</v>
      </c>
      <c r="F49" s="1">
        <v>0</v>
      </c>
    </row>
    <row r="50" spans="1:6" x14ac:dyDescent="0.25">
      <c r="A50" s="1">
        <v>49</v>
      </c>
      <c r="B50" s="1" t="str">
        <f t="shared" si="2"/>
        <v>Input@P_MontarCalcanheira</v>
      </c>
      <c r="C50" s="1" t="s">
        <v>121</v>
      </c>
      <c r="D50" s="1" t="s">
        <v>78</v>
      </c>
      <c r="E50" s="1" t="s">
        <v>56</v>
      </c>
      <c r="F50" s="1">
        <v>0</v>
      </c>
    </row>
    <row r="51" spans="1:6" x14ac:dyDescent="0.25">
      <c r="A51" s="1">
        <v>50</v>
      </c>
      <c r="B51" s="1" t="str">
        <f t="shared" si="2"/>
        <v>Input@P_Forno4</v>
      </c>
      <c r="C51" s="1" t="s">
        <v>122</v>
      </c>
      <c r="D51" s="1" t="s">
        <v>78</v>
      </c>
      <c r="E51" s="1" t="s">
        <v>87</v>
      </c>
      <c r="F51" s="1">
        <v>0</v>
      </c>
    </row>
    <row r="52" spans="1:6" x14ac:dyDescent="0.25">
      <c r="A52" s="1">
        <v>51</v>
      </c>
      <c r="B52" s="1" t="str">
        <f t="shared" si="2"/>
        <v>Input@P_Riscar</v>
      </c>
      <c r="C52" s="1" t="s">
        <v>123</v>
      </c>
      <c r="D52" s="1" t="s">
        <v>78</v>
      </c>
      <c r="E52" s="1" t="s">
        <v>88</v>
      </c>
      <c r="F52" s="1">
        <v>0</v>
      </c>
    </row>
    <row r="53" spans="1:6" x14ac:dyDescent="0.25">
      <c r="A53" s="1">
        <v>52</v>
      </c>
      <c r="B53" s="1" t="str">
        <f t="shared" si="2"/>
        <v>Input@P_Cardar1</v>
      </c>
      <c r="C53" s="1" t="s">
        <v>141</v>
      </c>
      <c r="D53" s="1" t="s">
        <v>78</v>
      </c>
      <c r="E53" s="1" t="s">
        <v>142</v>
      </c>
      <c r="F53" s="1">
        <v>0</v>
      </c>
    </row>
    <row r="54" spans="1:6" x14ac:dyDescent="0.25">
      <c r="A54" s="1">
        <v>53</v>
      </c>
      <c r="B54" s="1" t="str">
        <f t="shared" si="2"/>
        <v>Input@P_ColarSola</v>
      </c>
      <c r="C54" s="1" t="s">
        <v>124</v>
      </c>
      <c r="D54" s="1" t="s">
        <v>78</v>
      </c>
      <c r="E54" s="1" t="s">
        <v>98</v>
      </c>
      <c r="F54" s="1">
        <v>0</v>
      </c>
    </row>
    <row r="55" spans="1:6" s="1" customFormat="1" x14ac:dyDescent="0.25">
      <c r="A55" s="1">
        <v>54</v>
      </c>
      <c r="B55" s="1" t="str">
        <f t="shared" si="2"/>
        <v>Input@P_Cardar2</v>
      </c>
      <c r="C55" s="1" t="s">
        <v>140</v>
      </c>
      <c r="D55" s="1" t="s">
        <v>78</v>
      </c>
      <c r="E55" s="1" t="s">
        <v>143</v>
      </c>
      <c r="F55" s="1">
        <v>0</v>
      </c>
    </row>
    <row r="56" spans="1:6" x14ac:dyDescent="0.25">
      <c r="A56" s="1">
        <v>55</v>
      </c>
      <c r="B56" s="1" t="str">
        <f t="shared" si="2"/>
        <v>Input@P_CardarLateral</v>
      </c>
      <c r="C56" s="1" t="s">
        <v>125</v>
      </c>
      <c r="D56" s="1" t="s">
        <v>78</v>
      </c>
      <c r="E56" s="1" t="s">
        <v>94</v>
      </c>
      <c r="F56" s="1">
        <v>0</v>
      </c>
    </row>
    <row r="57" spans="1:6" x14ac:dyDescent="0.25">
      <c r="A57" s="1">
        <v>56</v>
      </c>
      <c r="B57" s="1" t="str">
        <f t="shared" si="2"/>
        <v>Input@P_PreDarCola</v>
      </c>
      <c r="C57" s="1" t="s">
        <v>126</v>
      </c>
      <c r="D57" s="1" t="s">
        <v>78</v>
      </c>
      <c r="E57" s="1" t="s">
        <v>89</v>
      </c>
      <c r="F57" s="1">
        <v>0</v>
      </c>
    </row>
    <row r="58" spans="1:6" x14ac:dyDescent="0.25">
      <c r="A58" s="1">
        <v>57</v>
      </c>
      <c r="B58" s="1" t="str">
        <f t="shared" si="2"/>
        <v>Input@P_DarCola</v>
      </c>
      <c r="C58" s="1" t="s">
        <v>127</v>
      </c>
      <c r="D58" s="1" t="s">
        <v>78</v>
      </c>
      <c r="E58" s="1" t="s">
        <v>57</v>
      </c>
      <c r="F58" s="1">
        <v>0</v>
      </c>
    </row>
    <row r="59" spans="1:6" x14ac:dyDescent="0.25">
      <c r="A59" s="1">
        <v>58</v>
      </c>
      <c r="B59" s="1" t="str">
        <f t="shared" si="2"/>
        <v>Input@P_FornoReativador</v>
      </c>
      <c r="C59" s="1" t="s">
        <v>128</v>
      </c>
      <c r="D59" s="1" t="s">
        <v>78</v>
      </c>
      <c r="E59" s="1" t="s">
        <v>90</v>
      </c>
      <c r="F59" s="1">
        <v>0</v>
      </c>
    </row>
    <row r="60" spans="1:6" x14ac:dyDescent="0.25">
      <c r="A60" s="1">
        <v>59</v>
      </c>
      <c r="B60" s="1" t="str">
        <f t="shared" si="2"/>
        <v>Input@P_Prensar</v>
      </c>
      <c r="C60" s="1" t="s">
        <v>129</v>
      </c>
      <c r="D60" s="1" t="s">
        <v>78</v>
      </c>
      <c r="E60" s="1" t="s">
        <v>91</v>
      </c>
      <c r="F60" s="1">
        <v>0</v>
      </c>
    </row>
    <row r="61" spans="1:6" x14ac:dyDescent="0.25">
      <c r="A61" s="1">
        <v>60</v>
      </c>
      <c r="B61" s="1" t="str">
        <f t="shared" si="2"/>
        <v>Input@P_Limpar</v>
      </c>
      <c r="C61" s="1" t="s">
        <v>130</v>
      </c>
      <c r="D61" s="1" t="s">
        <v>78</v>
      </c>
      <c r="E61" s="1" t="s">
        <v>92</v>
      </c>
      <c r="F61" s="1">
        <v>0</v>
      </c>
    </row>
    <row r="62" spans="1:6" x14ac:dyDescent="0.25">
      <c r="A62" s="1">
        <v>61</v>
      </c>
      <c r="B62" s="1" t="str">
        <f t="shared" si="2"/>
        <v>Input@P_CFrio</v>
      </c>
      <c r="C62" s="1" t="s">
        <v>131</v>
      </c>
      <c r="D62" s="1" t="s">
        <v>78</v>
      </c>
      <c r="E62" s="1" t="s">
        <v>93</v>
      </c>
      <c r="F62" s="1">
        <v>0</v>
      </c>
    </row>
    <row r="63" spans="1:6" x14ac:dyDescent="0.25">
      <c r="A63" s="1">
        <v>62</v>
      </c>
      <c r="B63" s="1" t="str">
        <f t="shared" si="2"/>
        <v>Input@P_DesenformarA</v>
      </c>
      <c r="C63" s="1" t="s">
        <v>132</v>
      </c>
      <c r="D63" s="1" t="s">
        <v>78</v>
      </c>
      <c r="E63" s="1" t="s">
        <v>99</v>
      </c>
      <c r="F63" s="1">
        <v>0</v>
      </c>
    </row>
    <row r="64" spans="1:6" x14ac:dyDescent="0.25">
      <c r="A64" s="1">
        <v>63</v>
      </c>
      <c r="B64" s="1" t="str">
        <f t="shared" si="2"/>
        <v>Input@P_DesenformarM</v>
      </c>
      <c r="C64" s="1" t="s">
        <v>133</v>
      </c>
      <c r="D64" s="1" t="s">
        <v>78</v>
      </c>
      <c r="E64" s="1" t="s">
        <v>100</v>
      </c>
      <c r="F64" s="1">
        <v>0</v>
      </c>
    </row>
  </sheetData>
  <autoFilter ref="A1:F1"/>
  <pageMargins left="0.7" right="0.7" top="0.75" bottom="0.75" header="0.3" footer="0.3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N66"/>
  <sheetViews>
    <sheetView zoomScale="140" zoomScaleNormal="140" workbookViewId="0">
      <selection activeCell="B1" sqref="B1:J1048576"/>
    </sheetView>
  </sheetViews>
  <sheetFormatPr defaultRowHeight="15" x14ac:dyDescent="0.25"/>
  <cols>
    <col min="1" max="1" width="12.85546875" style="7" bestFit="1" customWidth="1"/>
    <col min="2" max="2" width="16" style="1" bestFit="1" customWidth="1"/>
    <col min="3" max="3" width="16" style="1" customWidth="1"/>
    <col min="4" max="4" width="18.7109375" style="1" bestFit="1" customWidth="1"/>
    <col min="5" max="5" width="21.140625" style="1" bestFit="1" customWidth="1"/>
    <col min="6" max="6" width="32.5703125" style="1" customWidth="1"/>
    <col min="7" max="7" width="11.28515625" style="1" hidden="1" customWidth="1"/>
    <col min="8" max="8" width="22" style="1" hidden="1" customWidth="1"/>
    <col min="9" max="9" width="25.28515625" style="1" hidden="1" customWidth="1"/>
    <col min="10" max="10" width="17.28515625" style="1" bestFit="1" customWidth="1"/>
    <col min="11" max="11" width="15.42578125" style="1" customWidth="1"/>
    <col min="12" max="12" width="13.140625" style="1" customWidth="1"/>
    <col min="13" max="13" width="14.85546875" style="1" customWidth="1"/>
    <col min="14" max="14" width="17.5703125" style="1" customWidth="1"/>
  </cols>
  <sheetData>
    <row r="1" spans="1:14" x14ac:dyDescent="0.25">
      <c r="A1" s="7" t="s">
        <v>151</v>
      </c>
      <c r="B1" s="3" t="s">
        <v>74</v>
      </c>
      <c r="C1" s="3" t="s">
        <v>63</v>
      </c>
      <c r="D1" s="3" t="s">
        <v>101</v>
      </c>
      <c r="E1" s="3" t="s">
        <v>104</v>
      </c>
      <c r="F1" s="3" t="s">
        <v>105</v>
      </c>
      <c r="G1" s="3" t="s">
        <v>10</v>
      </c>
      <c r="H1" s="3" t="s">
        <v>11</v>
      </c>
      <c r="I1" s="3" t="s">
        <v>12</v>
      </c>
      <c r="J1" s="3" t="s">
        <v>135</v>
      </c>
      <c r="K1" s="3" t="s">
        <v>1</v>
      </c>
      <c r="L1" s="3" t="s">
        <v>13</v>
      </c>
      <c r="M1" s="3" t="s">
        <v>14</v>
      </c>
      <c r="N1" s="3" t="s">
        <v>15</v>
      </c>
    </row>
    <row r="2" spans="1:14" x14ac:dyDescent="0.25">
      <c r="A2" s="7">
        <v>1</v>
      </c>
      <c r="B2" s="1" t="s">
        <v>76</v>
      </c>
      <c r="D2" s="1" t="s">
        <v>85</v>
      </c>
      <c r="E2" s="1">
        <v>10</v>
      </c>
      <c r="F2" s="1" t="str">
        <f t="shared" ref="F2:F14" si="0">D2&amp;"_"&amp;B2</f>
        <v>Cintar_Modelo1</v>
      </c>
      <c r="G2" s="1" t="s">
        <v>37</v>
      </c>
      <c r="I2" s="1" t="s">
        <v>38</v>
      </c>
      <c r="J2" s="1">
        <v>1</v>
      </c>
      <c r="L2" s="1" t="s">
        <v>39</v>
      </c>
      <c r="M2" s="1" t="s">
        <v>40</v>
      </c>
      <c r="N2" s="1" t="s">
        <v>41</v>
      </c>
    </row>
    <row r="3" spans="1:14" x14ac:dyDescent="0.25">
      <c r="A3" s="7">
        <v>2</v>
      </c>
      <c r="B3" s="1" t="s">
        <v>76</v>
      </c>
      <c r="D3" s="1" t="s">
        <v>86</v>
      </c>
      <c r="E3" s="1">
        <v>10</v>
      </c>
      <c r="F3" s="1" t="str">
        <f t="shared" si="0"/>
        <v>MeterForma_Modelo1</v>
      </c>
      <c r="G3" s="1" t="s">
        <v>37</v>
      </c>
      <c r="I3" s="1" t="s">
        <v>38</v>
      </c>
      <c r="J3" s="1">
        <v>1</v>
      </c>
      <c r="L3" s="1" t="s">
        <v>39</v>
      </c>
      <c r="M3" s="1" t="s">
        <v>40</v>
      </c>
      <c r="N3" s="1" t="s">
        <v>41</v>
      </c>
    </row>
    <row r="4" spans="1:14" x14ac:dyDescent="0.25">
      <c r="A4" s="7">
        <v>3</v>
      </c>
      <c r="B4" s="1" t="s">
        <v>76</v>
      </c>
      <c r="D4" s="1" t="s">
        <v>134</v>
      </c>
      <c r="E4" s="1">
        <v>10</v>
      </c>
      <c r="F4" s="1" t="str">
        <f t="shared" si="0"/>
        <v>Forno_Aquecer_Modelo1</v>
      </c>
      <c r="G4" s="1" t="s">
        <v>37</v>
      </c>
      <c r="I4" s="1" t="s">
        <v>38</v>
      </c>
      <c r="J4" s="1">
        <v>1</v>
      </c>
      <c r="L4" s="1" t="s">
        <v>39</v>
      </c>
      <c r="M4" s="1" t="s">
        <v>40</v>
      </c>
      <c r="N4" s="1" t="s">
        <v>41</v>
      </c>
    </row>
    <row r="5" spans="1:14" x14ac:dyDescent="0.25">
      <c r="A5" s="7">
        <v>4</v>
      </c>
      <c r="B5" s="1" t="s">
        <v>76</v>
      </c>
      <c r="D5" s="1" t="s">
        <v>95</v>
      </c>
      <c r="E5" s="1">
        <v>10</v>
      </c>
      <c r="F5" s="1" t="str">
        <f t="shared" si="0"/>
        <v>HBicos_Modelo1</v>
      </c>
      <c r="G5" s="1" t="s">
        <v>37</v>
      </c>
      <c r="I5" s="1" t="s">
        <v>38</v>
      </c>
      <c r="J5" s="1">
        <v>1</v>
      </c>
      <c r="L5" s="1" t="s">
        <v>39</v>
      </c>
      <c r="M5" s="1" t="s">
        <v>40</v>
      </c>
      <c r="N5" s="1" t="s">
        <v>41</v>
      </c>
    </row>
    <row r="6" spans="1:14" x14ac:dyDescent="0.25">
      <c r="A6" s="7">
        <v>5</v>
      </c>
      <c r="B6" s="1" t="s">
        <v>76</v>
      </c>
      <c r="D6" s="1" t="s">
        <v>58</v>
      </c>
      <c r="E6" s="1">
        <v>10</v>
      </c>
      <c r="F6" s="1" t="str">
        <f t="shared" si="0"/>
        <v>MontarBicos_Modelo1</v>
      </c>
      <c r="G6" s="1" t="s">
        <v>37</v>
      </c>
      <c r="I6" s="1" t="s">
        <v>38</v>
      </c>
      <c r="J6" s="1">
        <v>1</v>
      </c>
      <c r="L6" s="1" t="s">
        <v>39</v>
      </c>
      <c r="M6" s="1" t="s">
        <v>40</v>
      </c>
      <c r="N6" s="1" t="s">
        <v>41</v>
      </c>
    </row>
    <row r="7" spans="1:14" x14ac:dyDescent="0.25">
      <c r="A7" s="7">
        <v>6</v>
      </c>
      <c r="B7" s="1" t="s">
        <v>76</v>
      </c>
      <c r="D7" s="1" t="s">
        <v>96</v>
      </c>
      <c r="E7" s="1">
        <v>10</v>
      </c>
      <c r="F7" s="1" t="str">
        <f t="shared" si="0"/>
        <v>HCalcanheira_Modelo1</v>
      </c>
      <c r="G7" s="1" t="s">
        <v>37</v>
      </c>
      <c r="I7" s="1" t="s">
        <v>38</v>
      </c>
      <c r="J7" s="1">
        <v>1</v>
      </c>
      <c r="L7" s="1" t="s">
        <v>39</v>
      </c>
      <c r="M7" s="1" t="s">
        <v>40</v>
      </c>
      <c r="N7" s="1" t="s">
        <v>41</v>
      </c>
    </row>
    <row r="8" spans="1:14" x14ac:dyDescent="0.25">
      <c r="A8" s="7">
        <v>7</v>
      </c>
      <c r="B8" s="1" t="s">
        <v>76</v>
      </c>
      <c r="D8" s="1" t="s">
        <v>56</v>
      </c>
      <c r="E8" s="1">
        <v>10</v>
      </c>
      <c r="F8" s="1" t="str">
        <f t="shared" si="0"/>
        <v>MontarCalcanheira_Modelo1</v>
      </c>
      <c r="G8" s="1" t="s">
        <v>37</v>
      </c>
      <c r="I8" s="1" t="s">
        <v>38</v>
      </c>
      <c r="J8" s="1">
        <v>1</v>
      </c>
      <c r="L8" s="1" t="s">
        <v>39</v>
      </c>
      <c r="M8" s="1" t="s">
        <v>40</v>
      </c>
      <c r="N8" s="1" t="s">
        <v>41</v>
      </c>
    </row>
    <row r="9" spans="1:14" x14ac:dyDescent="0.25">
      <c r="A9" s="7">
        <v>8</v>
      </c>
      <c r="B9" s="1" t="s">
        <v>76</v>
      </c>
      <c r="D9" s="1" t="s">
        <v>87</v>
      </c>
      <c r="E9" s="1">
        <v>10</v>
      </c>
      <c r="F9" s="1" t="str">
        <f t="shared" si="0"/>
        <v>Forno4_Modelo1</v>
      </c>
      <c r="G9" s="1" t="s">
        <v>37</v>
      </c>
      <c r="I9" s="1" t="s">
        <v>38</v>
      </c>
      <c r="J9" s="1">
        <v>1</v>
      </c>
      <c r="L9" s="1" t="s">
        <v>39</v>
      </c>
      <c r="M9" s="1" t="s">
        <v>40</v>
      </c>
      <c r="N9" s="1" t="s">
        <v>41</v>
      </c>
    </row>
    <row r="10" spans="1:14" s="1" customFormat="1" x14ac:dyDescent="0.25">
      <c r="A10" s="7">
        <v>9</v>
      </c>
      <c r="B10" s="1" t="s">
        <v>76</v>
      </c>
      <c r="D10" s="1" t="s">
        <v>88</v>
      </c>
      <c r="E10" s="1">
        <v>10</v>
      </c>
      <c r="F10" s="1" t="str">
        <f t="shared" ref="F10" si="1">D10&amp;"_"&amp;B10</f>
        <v>Riscar_Modelo1</v>
      </c>
      <c r="G10" s="1" t="s">
        <v>37</v>
      </c>
      <c r="I10" s="1" t="s">
        <v>38</v>
      </c>
      <c r="J10" s="1">
        <v>1</v>
      </c>
      <c r="L10" s="1" t="s">
        <v>39</v>
      </c>
      <c r="M10" s="1" t="s">
        <v>40</v>
      </c>
      <c r="N10" s="1" t="s">
        <v>41</v>
      </c>
    </row>
    <row r="11" spans="1:14" x14ac:dyDescent="0.25">
      <c r="A11" s="7">
        <v>10</v>
      </c>
      <c r="B11" s="1" t="s">
        <v>76</v>
      </c>
      <c r="D11" s="1" t="s">
        <v>142</v>
      </c>
      <c r="E11" s="1">
        <v>10</v>
      </c>
      <c r="F11" s="1" t="str">
        <f t="shared" si="0"/>
        <v>Cardar1_Modelo1</v>
      </c>
      <c r="G11" s="1" t="s">
        <v>37</v>
      </c>
      <c r="I11" s="1" t="s">
        <v>38</v>
      </c>
      <c r="J11" s="1">
        <v>1</v>
      </c>
      <c r="L11" s="1" t="s">
        <v>39</v>
      </c>
      <c r="M11" s="1" t="s">
        <v>40</v>
      </c>
      <c r="N11" s="1" t="s">
        <v>41</v>
      </c>
    </row>
    <row r="12" spans="1:14" x14ac:dyDescent="0.25">
      <c r="A12" s="7">
        <v>11</v>
      </c>
      <c r="B12" s="1" t="s">
        <v>76</v>
      </c>
      <c r="D12" s="1" t="s">
        <v>98</v>
      </c>
      <c r="E12" s="1">
        <v>10</v>
      </c>
      <c r="F12" s="1" t="str">
        <f t="shared" si="0"/>
        <v>ColarSola_Modelo1</v>
      </c>
      <c r="G12" s="1" t="s">
        <v>37</v>
      </c>
      <c r="I12" s="1" t="s">
        <v>38</v>
      </c>
      <c r="J12" s="1">
        <v>1</v>
      </c>
      <c r="L12" s="1" t="s">
        <v>39</v>
      </c>
      <c r="M12" s="1" t="s">
        <v>40</v>
      </c>
      <c r="N12" s="1" t="s">
        <v>41</v>
      </c>
    </row>
    <row r="13" spans="1:14" s="1" customFormat="1" x14ac:dyDescent="0.25">
      <c r="A13" s="7">
        <v>12</v>
      </c>
      <c r="B13" s="1" t="s">
        <v>76</v>
      </c>
      <c r="D13" s="1" t="s">
        <v>143</v>
      </c>
      <c r="E13" s="1">
        <v>10</v>
      </c>
      <c r="F13" s="1" t="str">
        <f t="shared" si="0"/>
        <v>Cardar2_Modelo1</v>
      </c>
      <c r="G13" s="1" t="s">
        <v>37</v>
      </c>
      <c r="I13" s="1" t="s">
        <v>38</v>
      </c>
      <c r="J13" s="1">
        <v>1</v>
      </c>
      <c r="L13" s="1" t="s">
        <v>39</v>
      </c>
      <c r="M13" s="1" t="s">
        <v>40</v>
      </c>
      <c r="N13" s="1" t="s">
        <v>41</v>
      </c>
    </row>
    <row r="14" spans="1:14" x14ac:dyDescent="0.25">
      <c r="A14" s="7">
        <v>13</v>
      </c>
      <c r="B14" s="1" t="s">
        <v>76</v>
      </c>
      <c r="D14" s="1" t="s">
        <v>94</v>
      </c>
      <c r="E14" s="1">
        <v>10</v>
      </c>
      <c r="F14" s="1" t="str">
        <f t="shared" si="0"/>
        <v>CardarLateral_Modelo1</v>
      </c>
      <c r="G14" s="1" t="s">
        <v>37</v>
      </c>
      <c r="I14" s="1" t="s">
        <v>38</v>
      </c>
      <c r="J14" s="1">
        <v>1</v>
      </c>
      <c r="L14" s="1" t="s">
        <v>39</v>
      </c>
      <c r="M14" s="1" t="s">
        <v>40</v>
      </c>
      <c r="N14" s="1" t="s">
        <v>41</v>
      </c>
    </row>
    <row r="15" spans="1:14" x14ac:dyDescent="0.25">
      <c r="A15" s="7">
        <v>14</v>
      </c>
      <c r="B15" s="1" t="s">
        <v>76</v>
      </c>
      <c r="D15" s="1" t="s">
        <v>89</v>
      </c>
      <c r="E15" s="5">
        <v>10</v>
      </c>
      <c r="F15" s="5" t="str">
        <f>D16&amp;"_"&amp;B16</f>
        <v>DarCola_Modelo1</v>
      </c>
      <c r="G15" s="1" t="s">
        <v>37</v>
      </c>
      <c r="I15" s="1" t="s">
        <v>38</v>
      </c>
      <c r="J15" s="1">
        <v>1</v>
      </c>
      <c r="L15" s="1" t="s">
        <v>39</v>
      </c>
      <c r="M15" s="1" t="s">
        <v>40</v>
      </c>
      <c r="N15" s="1" t="s">
        <v>41</v>
      </c>
    </row>
    <row r="16" spans="1:14" s="1" customFormat="1" x14ac:dyDescent="0.25">
      <c r="A16" s="7">
        <v>15</v>
      </c>
      <c r="B16" s="1" t="s">
        <v>76</v>
      </c>
      <c r="D16" s="4" t="s">
        <v>57</v>
      </c>
      <c r="E16" s="4">
        <v>10</v>
      </c>
      <c r="F16" s="4" t="s">
        <v>102</v>
      </c>
      <c r="G16" s="1" t="s">
        <v>37</v>
      </c>
      <c r="I16" s="1" t="s">
        <v>38</v>
      </c>
      <c r="J16" s="1">
        <v>10</v>
      </c>
      <c r="L16" s="1" t="s">
        <v>39</v>
      </c>
      <c r="M16" s="1" t="s">
        <v>40</v>
      </c>
      <c r="N16" s="1" t="s">
        <v>41</v>
      </c>
    </row>
    <row r="17" spans="1:14" x14ac:dyDescent="0.25">
      <c r="A17" s="7">
        <v>16</v>
      </c>
      <c r="B17" s="1" t="s">
        <v>76</v>
      </c>
      <c r="D17" s="4" t="s">
        <v>57</v>
      </c>
      <c r="E17" s="4">
        <v>20</v>
      </c>
      <c r="F17" s="4" t="str">
        <f t="shared" ref="F17:F57" si="2">D17&amp;"_"&amp;B17</f>
        <v>DarCola_Modelo1</v>
      </c>
      <c r="G17" s="1" t="s">
        <v>37</v>
      </c>
      <c r="I17" s="1" t="s">
        <v>38</v>
      </c>
      <c r="J17" s="1">
        <v>3</v>
      </c>
      <c r="L17" s="1" t="s">
        <v>39</v>
      </c>
      <c r="M17" s="1" t="s">
        <v>40</v>
      </c>
      <c r="N17" s="1" t="s">
        <v>41</v>
      </c>
    </row>
    <row r="18" spans="1:14" s="1" customFormat="1" x14ac:dyDescent="0.25">
      <c r="A18" s="7">
        <v>17</v>
      </c>
      <c r="B18" s="1" t="s">
        <v>76</v>
      </c>
      <c r="D18" s="1" t="s">
        <v>90</v>
      </c>
      <c r="E18" s="1">
        <v>10</v>
      </c>
      <c r="F18" s="1" t="str">
        <f t="shared" si="2"/>
        <v>FornoReativador_Modelo1</v>
      </c>
      <c r="G18" s="1" t="s">
        <v>37</v>
      </c>
      <c r="I18" s="1" t="s">
        <v>38</v>
      </c>
      <c r="J18" s="1">
        <v>1</v>
      </c>
      <c r="L18" s="1" t="s">
        <v>39</v>
      </c>
      <c r="M18" s="1" t="s">
        <v>40</v>
      </c>
      <c r="N18" s="1" t="s">
        <v>41</v>
      </c>
    </row>
    <row r="19" spans="1:14" s="1" customFormat="1" x14ac:dyDescent="0.25">
      <c r="A19" s="7">
        <v>18</v>
      </c>
      <c r="B19" s="1" t="s">
        <v>76</v>
      </c>
      <c r="D19" s="1" t="s">
        <v>91</v>
      </c>
      <c r="E19" s="1">
        <v>10</v>
      </c>
      <c r="F19" s="1" t="str">
        <f t="shared" si="2"/>
        <v>Prensar_Modelo1</v>
      </c>
      <c r="G19" s="1" t="s">
        <v>37</v>
      </c>
      <c r="I19" s="1" t="s">
        <v>38</v>
      </c>
      <c r="J19" s="1">
        <v>1</v>
      </c>
      <c r="L19" s="1" t="s">
        <v>39</v>
      </c>
      <c r="M19" s="1" t="s">
        <v>40</v>
      </c>
      <c r="N19" s="1" t="s">
        <v>41</v>
      </c>
    </row>
    <row r="20" spans="1:14" s="1" customFormat="1" x14ac:dyDescent="0.25">
      <c r="A20" s="7">
        <v>19</v>
      </c>
      <c r="B20" s="1" t="s">
        <v>76</v>
      </c>
      <c r="D20" s="1" t="s">
        <v>92</v>
      </c>
      <c r="E20" s="1">
        <v>10</v>
      </c>
      <c r="F20" s="1" t="str">
        <f t="shared" si="2"/>
        <v>Limpar_Modelo1</v>
      </c>
      <c r="G20" s="1" t="s">
        <v>37</v>
      </c>
      <c r="I20" s="1" t="s">
        <v>38</v>
      </c>
      <c r="J20" s="1">
        <v>1</v>
      </c>
      <c r="L20" s="1" t="s">
        <v>39</v>
      </c>
      <c r="M20" s="1" t="s">
        <v>40</v>
      </c>
      <c r="N20" s="1" t="s">
        <v>41</v>
      </c>
    </row>
    <row r="21" spans="1:14" s="1" customFormat="1" x14ac:dyDescent="0.25">
      <c r="A21" s="7">
        <v>20</v>
      </c>
      <c r="B21" s="1" t="s">
        <v>76</v>
      </c>
      <c r="D21" s="1" t="s">
        <v>93</v>
      </c>
      <c r="E21" s="1">
        <v>10</v>
      </c>
      <c r="F21" s="1" t="str">
        <f t="shared" si="2"/>
        <v>CFrio_Modelo1</v>
      </c>
      <c r="G21" s="1" t="s">
        <v>37</v>
      </c>
      <c r="I21" s="1" t="s">
        <v>38</v>
      </c>
      <c r="J21" s="1">
        <v>1</v>
      </c>
      <c r="L21" s="1" t="s">
        <v>39</v>
      </c>
      <c r="M21" s="1" t="s">
        <v>40</v>
      </c>
      <c r="N21" s="1" t="s">
        <v>41</v>
      </c>
    </row>
    <row r="22" spans="1:14" s="1" customFormat="1" x14ac:dyDescent="0.25">
      <c r="A22" s="7">
        <v>21</v>
      </c>
      <c r="B22" s="1" t="s">
        <v>76</v>
      </c>
      <c r="D22" s="1" t="s">
        <v>99</v>
      </c>
      <c r="E22" s="1">
        <v>10</v>
      </c>
      <c r="F22" s="1" t="str">
        <f t="shared" si="2"/>
        <v>DesenformarA_Modelo1</v>
      </c>
      <c r="G22" s="1" t="s">
        <v>37</v>
      </c>
      <c r="I22" s="1" t="s">
        <v>38</v>
      </c>
      <c r="J22" s="1">
        <v>1</v>
      </c>
      <c r="L22" s="1" t="s">
        <v>39</v>
      </c>
      <c r="M22" s="1" t="s">
        <v>40</v>
      </c>
      <c r="N22" s="1" t="s">
        <v>41</v>
      </c>
    </row>
    <row r="23" spans="1:14" s="1" customFormat="1" x14ac:dyDescent="0.25">
      <c r="A23" s="7">
        <v>22</v>
      </c>
      <c r="B23" s="1" t="s">
        <v>76</v>
      </c>
      <c r="D23" s="1" t="s">
        <v>100</v>
      </c>
      <c r="E23" s="1">
        <v>10</v>
      </c>
      <c r="F23" s="1" t="str">
        <f t="shared" si="2"/>
        <v>DesenformarM_Modelo1</v>
      </c>
      <c r="G23" s="1" t="s">
        <v>37</v>
      </c>
      <c r="I23" s="1" t="s">
        <v>38</v>
      </c>
      <c r="J23" s="1">
        <v>1</v>
      </c>
      <c r="L23" s="1" t="s">
        <v>39</v>
      </c>
      <c r="M23" s="1" t="s">
        <v>40</v>
      </c>
      <c r="N23" s="1" t="s">
        <v>41</v>
      </c>
    </row>
    <row r="24" spans="1:14" s="1" customFormat="1" x14ac:dyDescent="0.25">
      <c r="A24" s="7">
        <v>23</v>
      </c>
      <c r="B24" s="1" t="s">
        <v>77</v>
      </c>
      <c r="D24" s="1" t="s">
        <v>85</v>
      </c>
      <c r="E24" s="1">
        <v>10</v>
      </c>
      <c r="F24" s="1" t="str">
        <f t="shared" si="2"/>
        <v>Cintar_Modelo2</v>
      </c>
      <c r="G24" s="1" t="s">
        <v>37</v>
      </c>
      <c r="I24" s="1" t="s">
        <v>38</v>
      </c>
      <c r="J24" s="1">
        <v>1</v>
      </c>
      <c r="L24" s="1" t="s">
        <v>39</v>
      </c>
      <c r="M24" s="1" t="s">
        <v>40</v>
      </c>
      <c r="N24" s="1" t="s">
        <v>41</v>
      </c>
    </row>
    <row r="25" spans="1:14" s="1" customFormat="1" x14ac:dyDescent="0.25">
      <c r="A25" s="7">
        <v>24</v>
      </c>
      <c r="B25" s="1" t="s">
        <v>77</v>
      </c>
      <c r="D25" s="1" t="s">
        <v>86</v>
      </c>
      <c r="E25" s="1">
        <v>10</v>
      </c>
      <c r="F25" s="1" t="str">
        <f t="shared" si="2"/>
        <v>MeterForma_Modelo2</v>
      </c>
      <c r="G25" s="1" t="s">
        <v>37</v>
      </c>
      <c r="I25" s="1" t="s">
        <v>38</v>
      </c>
      <c r="J25" s="1">
        <v>1</v>
      </c>
      <c r="L25" s="1" t="s">
        <v>39</v>
      </c>
      <c r="M25" s="1" t="s">
        <v>40</v>
      </c>
      <c r="N25" s="1" t="s">
        <v>41</v>
      </c>
    </row>
    <row r="26" spans="1:14" s="1" customFormat="1" x14ac:dyDescent="0.25">
      <c r="A26" s="7">
        <v>25</v>
      </c>
      <c r="B26" s="1" t="s">
        <v>77</v>
      </c>
      <c r="D26" s="1" t="s">
        <v>134</v>
      </c>
      <c r="E26" s="1">
        <v>10</v>
      </c>
      <c r="F26" s="1" t="str">
        <f t="shared" si="2"/>
        <v>Forno_Aquecer_Modelo2</v>
      </c>
      <c r="G26" s="1" t="s">
        <v>37</v>
      </c>
      <c r="I26" s="1" t="s">
        <v>38</v>
      </c>
      <c r="J26" s="1">
        <v>1</v>
      </c>
      <c r="L26" s="1" t="s">
        <v>39</v>
      </c>
      <c r="M26" s="1" t="s">
        <v>40</v>
      </c>
      <c r="N26" s="1" t="s">
        <v>41</v>
      </c>
    </row>
    <row r="27" spans="1:14" s="1" customFormat="1" x14ac:dyDescent="0.25">
      <c r="A27" s="7">
        <v>26</v>
      </c>
      <c r="B27" s="1" t="s">
        <v>77</v>
      </c>
      <c r="D27" s="1" t="s">
        <v>95</v>
      </c>
      <c r="E27" s="1">
        <v>10</v>
      </c>
      <c r="F27" s="1" t="str">
        <f t="shared" si="2"/>
        <v>HBicos_Modelo2</v>
      </c>
      <c r="G27" s="1" t="s">
        <v>37</v>
      </c>
      <c r="I27" s="1" t="s">
        <v>38</v>
      </c>
      <c r="J27" s="1">
        <v>1</v>
      </c>
      <c r="L27" s="1" t="s">
        <v>39</v>
      </c>
      <c r="M27" s="1" t="s">
        <v>40</v>
      </c>
      <c r="N27" s="1" t="s">
        <v>41</v>
      </c>
    </row>
    <row r="28" spans="1:14" s="1" customFormat="1" x14ac:dyDescent="0.25">
      <c r="A28" s="7">
        <v>27</v>
      </c>
      <c r="B28" s="1" t="s">
        <v>77</v>
      </c>
      <c r="D28" s="1" t="s">
        <v>58</v>
      </c>
      <c r="E28" s="1">
        <v>10</v>
      </c>
      <c r="F28" s="1" t="str">
        <f t="shared" si="2"/>
        <v>MontarBicos_Modelo2</v>
      </c>
      <c r="G28" s="1" t="s">
        <v>37</v>
      </c>
      <c r="I28" s="1" t="s">
        <v>38</v>
      </c>
      <c r="J28" s="1">
        <v>1</v>
      </c>
      <c r="L28" s="1" t="s">
        <v>39</v>
      </c>
      <c r="M28" s="1" t="s">
        <v>40</v>
      </c>
      <c r="N28" s="1" t="s">
        <v>41</v>
      </c>
    </row>
    <row r="29" spans="1:14" s="1" customFormat="1" x14ac:dyDescent="0.25">
      <c r="A29" s="7">
        <v>28</v>
      </c>
      <c r="B29" s="1" t="s">
        <v>77</v>
      </c>
      <c r="D29" s="1" t="s">
        <v>96</v>
      </c>
      <c r="E29" s="1">
        <v>10</v>
      </c>
      <c r="F29" s="1" t="str">
        <f t="shared" si="2"/>
        <v>HCalcanheira_Modelo2</v>
      </c>
      <c r="G29" s="1" t="s">
        <v>37</v>
      </c>
      <c r="I29" s="1" t="s">
        <v>38</v>
      </c>
      <c r="J29" s="1">
        <v>1</v>
      </c>
      <c r="L29" s="1" t="s">
        <v>39</v>
      </c>
      <c r="M29" s="1" t="s">
        <v>40</v>
      </c>
      <c r="N29" s="1" t="s">
        <v>41</v>
      </c>
    </row>
    <row r="30" spans="1:14" s="1" customFormat="1" x14ac:dyDescent="0.25">
      <c r="A30" s="7">
        <v>29</v>
      </c>
      <c r="B30" s="1" t="s">
        <v>77</v>
      </c>
      <c r="D30" s="1" t="s">
        <v>56</v>
      </c>
      <c r="E30" s="1">
        <v>10</v>
      </c>
      <c r="F30" s="1" t="str">
        <f t="shared" si="2"/>
        <v>MontarCalcanheira_Modelo2</v>
      </c>
      <c r="G30" s="1" t="s">
        <v>37</v>
      </c>
      <c r="I30" s="1" t="s">
        <v>38</v>
      </c>
      <c r="J30" s="1">
        <v>1</v>
      </c>
      <c r="L30" s="1" t="s">
        <v>39</v>
      </c>
      <c r="M30" s="1" t="s">
        <v>40</v>
      </c>
      <c r="N30" s="1" t="s">
        <v>41</v>
      </c>
    </row>
    <row r="31" spans="1:14" s="1" customFormat="1" x14ac:dyDescent="0.25">
      <c r="A31" s="7">
        <v>30</v>
      </c>
      <c r="B31" s="1" t="s">
        <v>77</v>
      </c>
      <c r="D31" s="1" t="s">
        <v>87</v>
      </c>
      <c r="E31" s="1">
        <v>10</v>
      </c>
      <c r="F31" s="1" t="str">
        <f t="shared" si="2"/>
        <v>Forno4_Modelo2</v>
      </c>
      <c r="G31" s="1" t="s">
        <v>37</v>
      </c>
      <c r="I31" s="1" t="s">
        <v>38</v>
      </c>
      <c r="J31" s="1">
        <v>1</v>
      </c>
      <c r="L31" s="1" t="s">
        <v>39</v>
      </c>
      <c r="M31" s="1" t="s">
        <v>40</v>
      </c>
      <c r="N31" s="1" t="s">
        <v>41</v>
      </c>
    </row>
    <row r="32" spans="1:14" s="1" customFormat="1" x14ac:dyDescent="0.25">
      <c r="A32" s="7">
        <v>31</v>
      </c>
      <c r="B32" s="1" t="s">
        <v>77</v>
      </c>
      <c r="D32" s="1" t="s">
        <v>88</v>
      </c>
      <c r="E32" s="1">
        <v>10</v>
      </c>
      <c r="F32" s="1" t="str">
        <f t="shared" si="2"/>
        <v>Riscar_Modelo2</v>
      </c>
      <c r="G32" s="1" t="s">
        <v>37</v>
      </c>
      <c r="I32" s="1" t="s">
        <v>38</v>
      </c>
      <c r="J32" s="1">
        <v>1</v>
      </c>
      <c r="L32" s="1" t="s">
        <v>39</v>
      </c>
      <c r="M32" s="1" t="s">
        <v>40</v>
      </c>
      <c r="N32" s="1" t="s">
        <v>41</v>
      </c>
    </row>
    <row r="33" spans="1:14" s="1" customFormat="1" x14ac:dyDescent="0.25">
      <c r="A33" s="7">
        <v>32</v>
      </c>
      <c r="B33" s="1" t="s">
        <v>77</v>
      </c>
      <c r="D33" s="1" t="s">
        <v>142</v>
      </c>
      <c r="E33" s="1">
        <v>10</v>
      </c>
      <c r="F33" s="1" t="str">
        <f t="shared" si="2"/>
        <v>Cardar1_Modelo2</v>
      </c>
      <c r="G33" s="1" t="s">
        <v>37</v>
      </c>
      <c r="I33" s="1" t="s">
        <v>38</v>
      </c>
      <c r="J33" s="1">
        <v>1</v>
      </c>
      <c r="L33" s="1" t="s">
        <v>39</v>
      </c>
      <c r="M33" s="1" t="s">
        <v>40</v>
      </c>
      <c r="N33" s="1" t="s">
        <v>41</v>
      </c>
    </row>
    <row r="34" spans="1:14" s="1" customFormat="1" x14ac:dyDescent="0.25">
      <c r="A34" s="7">
        <v>33</v>
      </c>
      <c r="B34" s="1" t="s">
        <v>77</v>
      </c>
      <c r="D34" s="1" t="s">
        <v>98</v>
      </c>
      <c r="E34" s="1">
        <v>10</v>
      </c>
      <c r="F34" s="1" t="str">
        <f t="shared" si="2"/>
        <v>ColarSola_Modelo2</v>
      </c>
      <c r="G34" s="1" t="s">
        <v>37</v>
      </c>
      <c r="I34" s="1" t="s">
        <v>38</v>
      </c>
      <c r="J34" s="1">
        <v>1</v>
      </c>
      <c r="L34" s="1" t="s">
        <v>39</v>
      </c>
      <c r="M34" s="1" t="s">
        <v>40</v>
      </c>
      <c r="N34" s="1" t="s">
        <v>41</v>
      </c>
    </row>
    <row r="35" spans="1:14" s="1" customFormat="1" x14ac:dyDescent="0.25">
      <c r="A35" s="7">
        <v>34</v>
      </c>
      <c r="B35" s="1" t="s">
        <v>77</v>
      </c>
      <c r="D35" s="1" t="s">
        <v>143</v>
      </c>
      <c r="E35" s="1">
        <v>10</v>
      </c>
      <c r="F35" s="1" t="str">
        <f t="shared" si="2"/>
        <v>Cardar2_Modelo2</v>
      </c>
      <c r="G35" s="1" t="s">
        <v>37</v>
      </c>
      <c r="I35" s="1" t="s">
        <v>38</v>
      </c>
      <c r="J35" s="1">
        <v>1</v>
      </c>
      <c r="L35" s="1" t="s">
        <v>39</v>
      </c>
      <c r="M35" s="1" t="s">
        <v>40</v>
      </c>
      <c r="N35" s="1" t="s">
        <v>41</v>
      </c>
    </row>
    <row r="36" spans="1:14" s="1" customFormat="1" x14ac:dyDescent="0.25">
      <c r="A36" s="7">
        <v>35</v>
      </c>
      <c r="B36" s="1" t="s">
        <v>77</v>
      </c>
      <c r="D36" s="1" t="s">
        <v>94</v>
      </c>
      <c r="E36" s="1">
        <v>10</v>
      </c>
      <c r="F36" s="1" t="str">
        <f t="shared" si="2"/>
        <v>CardarLateral_Modelo2</v>
      </c>
      <c r="G36" s="1" t="s">
        <v>37</v>
      </c>
      <c r="I36" s="1" t="s">
        <v>38</v>
      </c>
      <c r="J36" s="1">
        <v>1</v>
      </c>
      <c r="L36" s="1" t="s">
        <v>39</v>
      </c>
      <c r="M36" s="1" t="s">
        <v>40</v>
      </c>
      <c r="N36" s="1" t="s">
        <v>41</v>
      </c>
    </row>
    <row r="37" spans="1:14" s="1" customFormat="1" x14ac:dyDescent="0.25">
      <c r="A37" s="7">
        <v>36</v>
      </c>
      <c r="B37" s="1" t="s">
        <v>77</v>
      </c>
      <c r="D37" s="1" t="s">
        <v>89</v>
      </c>
      <c r="E37" s="6">
        <v>10</v>
      </c>
      <c r="F37" s="6" t="str">
        <f t="shared" si="2"/>
        <v>PreDarCola_Modelo2</v>
      </c>
      <c r="G37" s="1" t="s">
        <v>37</v>
      </c>
      <c r="I37" s="1" t="s">
        <v>38</v>
      </c>
      <c r="J37" s="1">
        <v>1</v>
      </c>
      <c r="L37" s="1" t="s">
        <v>39</v>
      </c>
      <c r="M37" s="1" t="s">
        <v>40</v>
      </c>
      <c r="N37" s="1" t="s">
        <v>41</v>
      </c>
    </row>
    <row r="38" spans="1:14" s="1" customFormat="1" x14ac:dyDescent="0.25">
      <c r="A38" s="7">
        <v>37</v>
      </c>
      <c r="B38" s="1" t="s">
        <v>77</v>
      </c>
      <c r="D38" s="4" t="s">
        <v>57</v>
      </c>
      <c r="E38" s="4">
        <v>10</v>
      </c>
      <c r="F38" s="4" t="str">
        <f t="shared" si="2"/>
        <v>DarCola_Modelo2</v>
      </c>
      <c r="G38" s="1" t="s">
        <v>37</v>
      </c>
      <c r="I38" s="1" t="s">
        <v>38</v>
      </c>
      <c r="J38" s="1">
        <v>3</v>
      </c>
      <c r="L38" s="1" t="s">
        <v>39</v>
      </c>
      <c r="M38" s="1" t="s">
        <v>40</v>
      </c>
      <c r="N38" s="1" t="s">
        <v>41</v>
      </c>
    </row>
    <row r="39" spans="1:14" s="1" customFormat="1" x14ac:dyDescent="0.25">
      <c r="A39" s="7">
        <v>38</v>
      </c>
      <c r="B39" s="1" t="s">
        <v>77</v>
      </c>
      <c r="D39" s="1" t="s">
        <v>90</v>
      </c>
      <c r="E39" s="1">
        <v>10</v>
      </c>
      <c r="F39" s="1" t="str">
        <f t="shared" si="2"/>
        <v>FornoReativador_Modelo2</v>
      </c>
      <c r="G39" s="1" t="s">
        <v>37</v>
      </c>
      <c r="I39" s="1" t="s">
        <v>38</v>
      </c>
      <c r="J39" s="1">
        <v>1</v>
      </c>
      <c r="L39" s="1" t="s">
        <v>39</v>
      </c>
      <c r="M39" s="1" t="s">
        <v>40</v>
      </c>
      <c r="N39" s="1" t="s">
        <v>41</v>
      </c>
    </row>
    <row r="40" spans="1:14" s="1" customFormat="1" x14ac:dyDescent="0.25">
      <c r="A40" s="7">
        <v>39</v>
      </c>
      <c r="B40" s="1" t="s">
        <v>77</v>
      </c>
      <c r="D40" s="1" t="s">
        <v>91</v>
      </c>
      <c r="E40" s="1">
        <v>10</v>
      </c>
      <c r="F40" s="1" t="str">
        <f t="shared" si="2"/>
        <v>Prensar_Modelo2</v>
      </c>
      <c r="G40" s="1" t="s">
        <v>37</v>
      </c>
      <c r="I40" s="1" t="s">
        <v>38</v>
      </c>
      <c r="J40" s="1">
        <v>1</v>
      </c>
      <c r="L40" s="1" t="s">
        <v>39</v>
      </c>
      <c r="M40" s="1" t="s">
        <v>40</v>
      </c>
      <c r="N40" s="1" t="s">
        <v>41</v>
      </c>
    </row>
    <row r="41" spans="1:14" s="1" customFormat="1" x14ac:dyDescent="0.25">
      <c r="A41" s="7">
        <v>40</v>
      </c>
      <c r="B41" s="1" t="s">
        <v>77</v>
      </c>
      <c r="D41" s="1" t="s">
        <v>92</v>
      </c>
      <c r="E41" s="1">
        <v>10</v>
      </c>
      <c r="F41" s="1" t="str">
        <f t="shared" si="2"/>
        <v>Limpar_Modelo2</v>
      </c>
      <c r="G41" s="1" t="s">
        <v>37</v>
      </c>
      <c r="I41" s="1" t="s">
        <v>38</v>
      </c>
      <c r="J41" s="1">
        <v>1</v>
      </c>
      <c r="L41" s="1" t="s">
        <v>39</v>
      </c>
      <c r="M41" s="1" t="s">
        <v>40</v>
      </c>
      <c r="N41" s="1" t="s">
        <v>41</v>
      </c>
    </row>
    <row r="42" spans="1:14" s="1" customFormat="1" x14ac:dyDescent="0.25">
      <c r="A42" s="7">
        <v>41</v>
      </c>
      <c r="B42" s="1" t="s">
        <v>77</v>
      </c>
      <c r="D42" s="1" t="s">
        <v>93</v>
      </c>
      <c r="E42" s="1">
        <v>10</v>
      </c>
      <c r="F42" s="1" t="str">
        <f t="shared" si="2"/>
        <v>CFrio_Modelo2</v>
      </c>
      <c r="G42" s="1" t="s">
        <v>37</v>
      </c>
      <c r="I42" s="1" t="s">
        <v>38</v>
      </c>
      <c r="J42" s="1">
        <v>1</v>
      </c>
      <c r="L42" s="1" t="s">
        <v>39</v>
      </c>
      <c r="M42" s="1" t="s">
        <v>40</v>
      </c>
      <c r="N42" s="1" t="s">
        <v>41</v>
      </c>
    </row>
    <row r="43" spans="1:14" s="1" customFormat="1" x14ac:dyDescent="0.25">
      <c r="A43" s="7">
        <v>42</v>
      </c>
      <c r="B43" s="1" t="s">
        <v>77</v>
      </c>
      <c r="D43" s="1" t="s">
        <v>99</v>
      </c>
      <c r="E43" s="1">
        <v>10</v>
      </c>
      <c r="F43" s="1" t="str">
        <f t="shared" si="2"/>
        <v>DesenformarA_Modelo2</v>
      </c>
      <c r="G43" s="1" t="s">
        <v>37</v>
      </c>
      <c r="I43" s="1" t="s">
        <v>38</v>
      </c>
      <c r="J43" s="1">
        <v>1</v>
      </c>
      <c r="L43" s="1" t="s">
        <v>39</v>
      </c>
      <c r="M43" s="1" t="s">
        <v>40</v>
      </c>
      <c r="N43" s="1" t="s">
        <v>41</v>
      </c>
    </row>
    <row r="44" spans="1:14" s="1" customFormat="1" x14ac:dyDescent="0.25">
      <c r="A44" s="7">
        <v>43</v>
      </c>
      <c r="B44" s="1" t="s">
        <v>77</v>
      </c>
      <c r="D44" s="1" t="s">
        <v>100</v>
      </c>
      <c r="E44" s="1">
        <v>10</v>
      </c>
      <c r="F44" s="1" t="str">
        <f t="shared" si="2"/>
        <v>DesenformarM_Modelo2</v>
      </c>
      <c r="G44" s="1" t="s">
        <v>37</v>
      </c>
      <c r="I44" s="1" t="s">
        <v>38</v>
      </c>
      <c r="J44" s="1">
        <v>1</v>
      </c>
      <c r="L44" s="1" t="s">
        <v>39</v>
      </c>
      <c r="M44" s="1" t="s">
        <v>40</v>
      </c>
      <c r="N44" s="1" t="s">
        <v>41</v>
      </c>
    </row>
    <row r="45" spans="1:14" s="1" customFormat="1" x14ac:dyDescent="0.25">
      <c r="A45" s="7">
        <v>44</v>
      </c>
      <c r="B45" s="1" t="s">
        <v>78</v>
      </c>
      <c r="D45" s="1" t="s">
        <v>85</v>
      </c>
      <c r="E45" s="1">
        <v>10</v>
      </c>
      <c r="F45" s="1" t="str">
        <f t="shared" si="2"/>
        <v>Cintar_Modelo3</v>
      </c>
      <c r="G45" s="1" t="s">
        <v>37</v>
      </c>
      <c r="I45" s="1" t="s">
        <v>38</v>
      </c>
      <c r="J45" s="1">
        <v>1</v>
      </c>
      <c r="L45" s="1" t="s">
        <v>39</v>
      </c>
      <c r="M45" s="1" t="s">
        <v>40</v>
      </c>
      <c r="N45" s="1" t="s">
        <v>41</v>
      </c>
    </row>
    <row r="46" spans="1:14" s="1" customFormat="1" x14ac:dyDescent="0.25">
      <c r="A46" s="7">
        <v>45</v>
      </c>
      <c r="B46" s="1" t="s">
        <v>78</v>
      </c>
      <c r="D46" s="1" t="s">
        <v>86</v>
      </c>
      <c r="E46" s="1">
        <v>10</v>
      </c>
      <c r="F46" s="1" t="str">
        <f t="shared" si="2"/>
        <v>MeterForma_Modelo3</v>
      </c>
      <c r="G46" s="1" t="s">
        <v>37</v>
      </c>
      <c r="I46" s="1" t="s">
        <v>38</v>
      </c>
      <c r="J46" s="1">
        <v>1</v>
      </c>
      <c r="L46" s="1" t="s">
        <v>39</v>
      </c>
      <c r="M46" s="1" t="s">
        <v>40</v>
      </c>
      <c r="N46" s="1" t="s">
        <v>41</v>
      </c>
    </row>
    <row r="47" spans="1:14" s="1" customFormat="1" x14ac:dyDescent="0.25">
      <c r="A47" s="7">
        <v>46</v>
      </c>
      <c r="B47" s="1" t="s">
        <v>78</v>
      </c>
      <c r="D47" s="1" t="s">
        <v>134</v>
      </c>
      <c r="E47" s="1">
        <v>10</v>
      </c>
      <c r="F47" s="1" t="str">
        <f t="shared" si="2"/>
        <v>Forno_Aquecer_Modelo3</v>
      </c>
      <c r="G47" s="1" t="s">
        <v>37</v>
      </c>
      <c r="I47" s="1" t="s">
        <v>38</v>
      </c>
      <c r="J47" s="1">
        <v>1</v>
      </c>
      <c r="L47" s="1" t="s">
        <v>39</v>
      </c>
      <c r="M47" s="1" t="s">
        <v>40</v>
      </c>
      <c r="N47" s="1" t="s">
        <v>41</v>
      </c>
    </row>
    <row r="48" spans="1:14" s="1" customFormat="1" x14ac:dyDescent="0.25">
      <c r="A48" s="7">
        <v>47</v>
      </c>
      <c r="B48" s="1" t="s">
        <v>78</v>
      </c>
      <c r="D48" s="1" t="s">
        <v>95</v>
      </c>
      <c r="E48" s="1">
        <v>10</v>
      </c>
      <c r="F48" s="1" t="str">
        <f t="shared" si="2"/>
        <v>HBicos_Modelo3</v>
      </c>
      <c r="G48" s="1" t="s">
        <v>37</v>
      </c>
      <c r="I48" s="1" t="s">
        <v>38</v>
      </c>
      <c r="J48" s="1">
        <v>1</v>
      </c>
      <c r="L48" s="1" t="s">
        <v>39</v>
      </c>
      <c r="M48" s="1" t="s">
        <v>40</v>
      </c>
      <c r="N48" s="1" t="s">
        <v>41</v>
      </c>
    </row>
    <row r="49" spans="1:14" s="1" customFormat="1" x14ac:dyDescent="0.25">
      <c r="A49" s="7">
        <v>48</v>
      </c>
      <c r="B49" s="1" t="s">
        <v>78</v>
      </c>
      <c r="D49" s="1" t="s">
        <v>58</v>
      </c>
      <c r="E49" s="1">
        <v>10</v>
      </c>
      <c r="F49" s="1" t="str">
        <f t="shared" si="2"/>
        <v>MontarBicos_Modelo3</v>
      </c>
      <c r="G49" s="1" t="s">
        <v>37</v>
      </c>
      <c r="I49" s="1" t="s">
        <v>38</v>
      </c>
      <c r="J49" s="1">
        <v>1</v>
      </c>
      <c r="L49" s="1" t="s">
        <v>39</v>
      </c>
      <c r="M49" s="1" t="s">
        <v>40</v>
      </c>
      <c r="N49" s="1" t="s">
        <v>41</v>
      </c>
    </row>
    <row r="50" spans="1:14" s="1" customFormat="1" x14ac:dyDescent="0.25">
      <c r="A50" s="7">
        <v>49</v>
      </c>
      <c r="B50" s="1" t="s">
        <v>78</v>
      </c>
      <c r="D50" s="1" t="s">
        <v>96</v>
      </c>
      <c r="E50" s="1">
        <v>10</v>
      </c>
      <c r="F50" s="1" t="str">
        <f t="shared" si="2"/>
        <v>HCalcanheira_Modelo3</v>
      </c>
      <c r="G50" s="1" t="s">
        <v>37</v>
      </c>
      <c r="I50" s="1" t="s">
        <v>38</v>
      </c>
      <c r="J50" s="1">
        <v>1</v>
      </c>
      <c r="L50" s="1" t="s">
        <v>39</v>
      </c>
      <c r="M50" s="1" t="s">
        <v>40</v>
      </c>
      <c r="N50" s="1" t="s">
        <v>41</v>
      </c>
    </row>
    <row r="51" spans="1:14" s="1" customFormat="1" x14ac:dyDescent="0.25">
      <c r="A51" s="7">
        <v>50</v>
      </c>
      <c r="B51" s="1" t="s">
        <v>78</v>
      </c>
      <c r="D51" s="1" t="s">
        <v>56</v>
      </c>
      <c r="E51" s="1">
        <v>10</v>
      </c>
      <c r="F51" s="1" t="str">
        <f t="shared" si="2"/>
        <v>MontarCalcanheira_Modelo3</v>
      </c>
      <c r="G51" s="1" t="s">
        <v>37</v>
      </c>
      <c r="I51" s="1" t="s">
        <v>38</v>
      </c>
      <c r="J51" s="1">
        <v>1</v>
      </c>
      <c r="L51" s="1" t="s">
        <v>39</v>
      </c>
      <c r="M51" s="1" t="s">
        <v>40</v>
      </c>
      <c r="N51" s="1" t="s">
        <v>41</v>
      </c>
    </row>
    <row r="52" spans="1:14" s="1" customFormat="1" x14ac:dyDescent="0.25">
      <c r="A52" s="7">
        <v>51</v>
      </c>
      <c r="B52" s="1" t="s">
        <v>78</v>
      </c>
      <c r="D52" s="1" t="s">
        <v>87</v>
      </c>
      <c r="E52" s="1">
        <v>10</v>
      </c>
      <c r="F52" s="1" t="str">
        <f t="shared" si="2"/>
        <v>Forno4_Modelo3</v>
      </c>
      <c r="G52" s="1" t="s">
        <v>37</v>
      </c>
      <c r="I52" s="1" t="s">
        <v>38</v>
      </c>
      <c r="J52" s="1">
        <v>1</v>
      </c>
      <c r="L52" s="1" t="s">
        <v>39</v>
      </c>
      <c r="M52" s="1" t="s">
        <v>40</v>
      </c>
      <c r="N52" s="1" t="s">
        <v>41</v>
      </c>
    </row>
    <row r="53" spans="1:14" s="1" customFormat="1" x14ac:dyDescent="0.25">
      <c r="A53" s="7">
        <v>52</v>
      </c>
      <c r="B53" s="1" t="s">
        <v>78</v>
      </c>
      <c r="D53" s="1" t="s">
        <v>88</v>
      </c>
      <c r="E53" s="1">
        <v>10</v>
      </c>
      <c r="F53" s="1" t="str">
        <f t="shared" si="2"/>
        <v>Riscar_Modelo3</v>
      </c>
      <c r="G53" s="1" t="s">
        <v>37</v>
      </c>
      <c r="I53" s="1" t="s">
        <v>38</v>
      </c>
      <c r="J53" s="1">
        <v>1</v>
      </c>
      <c r="L53" s="1" t="s">
        <v>39</v>
      </c>
      <c r="M53" s="1" t="s">
        <v>40</v>
      </c>
      <c r="N53" s="1" t="s">
        <v>41</v>
      </c>
    </row>
    <row r="54" spans="1:14" s="1" customFormat="1" x14ac:dyDescent="0.25">
      <c r="A54" s="7">
        <v>53</v>
      </c>
      <c r="B54" s="1" t="s">
        <v>78</v>
      </c>
      <c r="D54" s="1" t="s">
        <v>142</v>
      </c>
      <c r="E54" s="1">
        <v>10</v>
      </c>
      <c r="F54" s="1" t="str">
        <f t="shared" si="2"/>
        <v>Cardar1_Modelo3</v>
      </c>
      <c r="G54" s="1" t="s">
        <v>37</v>
      </c>
      <c r="I54" s="1" t="s">
        <v>38</v>
      </c>
      <c r="J54" s="1">
        <v>1</v>
      </c>
      <c r="L54" s="1" t="s">
        <v>39</v>
      </c>
      <c r="M54" s="1" t="s">
        <v>40</v>
      </c>
      <c r="N54" s="1" t="s">
        <v>41</v>
      </c>
    </row>
    <row r="55" spans="1:14" s="1" customFormat="1" x14ac:dyDescent="0.25">
      <c r="A55" s="7">
        <v>54</v>
      </c>
      <c r="B55" s="1" t="s">
        <v>78</v>
      </c>
      <c r="D55" s="1" t="s">
        <v>98</v>
      </c>
      <c r="E55" s="1">
        <v>10</v>
      </c>
      <c r="F55" s="1" t="str">
        <f t="shared" si="2"/>
        <v>ColarSola_Modelo3</v>
      </c>
      <c r="G55" s="1" t="s">
        <v>37</v>
      </c>
      <c r="I55" s="1" t="s">
        <v>38</v>
      </c>
      <c r="J55" s="1">
        <v>1</v>
      </c>
      <c r="L55" s="1" t="s">
        <v>39</v>
      </c>
      <c r="M55" s="1" t="s">
        <v>40</v>
      </c>
      <c r="N55" s="1" t="s">
        <v>41</v>
      </c>
    </row>
    <row r="56" spans="1:14" s="1" customFormat="1" x14ac:dyDescent="0.25">
      <c r="A56" s="7">
        <v>55</v>
      </c>
      <c r="B56" s="1" t="s">
        <v>78</v>
      </c>
      <c r="D56" s="1" t="s">
        <v>143</v>
      </c>
      <c r="E56" s="1">
        <v>10</v>
      </c>
      <c r="F56" s="1" t="str">
        <f t="shared" ref="F56" si="3">D56&amp;"_"&amp;B56</f>
        <v>Cardar2_Modelo3</v>
      </c>
      <c r="G56" s="1" t="s">
        <v>37</v>
      </c>
      <c r="I56" s="1" t="s">
        <v>38</v>
      </c>
      <c r="J56" s="1">
        <v>1</v>
      </c>
      <c r="L56" s="1" t="s">
        <v>39</v>
      </c>
      <c r="M56" s="1" t="s">
        <v>40</v>
      </c>
      <c r="N56" s="1" t="s">
        <v>41</v>
      </c>
    </row>
    <row r="57" spans="1:14" s="1" customFormat="1" x14ac:dyDescent="0.25">
      <c r="A57" s="7">
        <v>56</v>
      </c>
      <c r="B57" s="1" t="s">
        <v>78</v>
      </c>
      <c r="D57" s="1" t="s">
        <v>94</v>
      </c>
      <c r="E57" s="1">
        <v>10</v>
      </c>
      <c r="F57" s="1" t="str">
        <f t="shared" si="2"/>
        <v>CardarLateral_Modelo3</v>
      </c>
      <c r="G57" s="1" t="s">
        <v>37</v>
      </c>
      <c r="I57" s="1" t="s">
        <v>38</v>
      </c>
      <c r="J57" s="1">
        <v>1</v>
      </c>
      <c r="L57" s="1" t="s">
        <v>39</v>
      </c>
      <c r="M57" s="1" t="s">
        <v>40</v>
      </c>
      <c r="N57" s="1" t="s">
        <v>41</v>
      </c>
    </row>
    <row r="58" spans="1:14" s="1" customFormat="1" x14ac:dyDescent="0.25">
      <c r="A58" s="7">
        <v>57</v>
      </c>
      <c r="B58" s="1" t="s">
        <v>78</v>
      </c>
      <c r="D58" s="1" t="s">
        <v>89</v>
      </c>
      <c r="E58" s="1">
        <v>10</v>
      </c>
      <c r="F58" s="1" t="s">
        <v>136</v>
      </c>
      <c r="G58" s="1" t="s">
        <v>37</v>
      </c>
      <c r="I58" s="1" t="s">
        <v>38</v>
      </c>
      <c r="J58" s="1">
        <v>1</v>
      </c>
      <c r="L58" s="1" t="s">
        <v>39</v>
      </c>
      <c r="M58" s="1" t="s">
        <v>40</v>
      </c>
      <c r="N58" s="1" t="s">
        <v>41</v>
      </c>
    </row>
    <row r="59" spans="1:14" s="1" customFormat="1" x14ac:dyDescent="0.25">
      <c r="A59" s="7">
        <v>58</v>
      </c>
      <c r="B59" s="1" t="s">
        <v>78</v>
      </c>
      <c r="D59" s="4" t="s">
        <v>57</v>
      </c>
      <c r="E59" s="4">
        <v>10</v>
      </c>
      <c r="F59" s="4" t="s">
        <v>102</v>
      </c>
      <c r="G59" s="1" t="s">
        <v>37</v>
      </c>
      <c r="I59" s="1" t="s">
        <v>38</v>
      </c>
      <c r="J59" s="1">
        <v>10</v>
      </c>
      <c r="L59" s="1" t="s">
        <v>39</v>
      </c>
      <c r="M59" s="1" t="s">
        <v>40</v>
      </c>
      <c r="N59" s="1" t="s">
        <v>41</v>
      </c>
    </row>
    <row r="60" spans="1:14" s="1" customFormat="1" x14ac:dyDescent="0.25">
      <c r="A60" s="7">
        <v>59</v>
      </c>
      <c r="B60" s="1" t="s">
        <v>78</v>
      </c>
      <c r="D60" s="4" t="s">
        <v>57</v>
      </c>
      <c r="E60" s="4">
        <v>20</v>
      </c>
      <c r="F60" s="4" t="str">
        <f t="shared" ref="F60:F66" si="4">D60&amp;"_"&amp;B60</f>
        <v>DarCola_Modelo3</v>
      </c>
      <c r="G60" s="1" t="s">
        <v>37</v>
      </c>
      <c r="I60" s="1" t="s">
        <v>38</v>
      </c>
      <c r="J60" s="1">
        <v>3</v>
      </c>
      <c r="L60" s="1" t="s">
        <v>39</v>
      </c>
      <c r="M60" s="1" t="s">
        <v>40</v>
      </c>
      <c r="N60" s="1" t="s">
        <v>41</v>
      </c>
    </row>
    <row r="61" spans="1:14" s="1" customFormat="1" x14ac:dyDescent="0.25">
      <c r="A61" s="7">
        <v>60</v>
      </c>
      <c r="B61" s="1" t="s">
        <v>78</v>
      </c>
      <c r="D61" s="1" t="s">
        <v>90</v>
      </c>
      <c r="E61" s="1">
        <v>10</v>
      </c>
      <c r="F61" s="1" t="str">
        <f t="shared" si="4"/>
        <v>FornoReativador_Modelo3</v>
      </c>
      <c r="G61" s="1" t="s">
        <v>37</v>
      </c>
      <c r="I61" s="1" t="s">
        <v>38</v>
      </c>
      <c r="J61" s="1">
        <v>1</v>
      </c>
      <c r="L61" s="1" t="s">
        <v>39</v>
      </c>
      <c r="M61" s="1" t="s">
        <v>40</v>
      </c>
      <c r="N61" s="1" t="s">
        <v>41</v>
      </c>
    </row>
    <row r="62" spans="1:14" s="1" customFormat="1" x14ac:dyDescent="0.25">
      <c r="A62" s="7">
        <v>61</v>
      </c>
      <c r="B62" s="1" t="s">
        <v>78</v>
      </c>
      <c r="D62" s="1" t="s">
        <v>91</v>
      </c>
      <c r="E62" s="1">
        <v>10</v>
      </c>
      <c r="F62" s="1" t="str">
        <f t="shared" si="4"/>
        <v>Prensar_Modelo3</v>
      </c>
      <c r="G62" s="1" t="s">
        <v>37</v>
      </c>
      <c r="I62" s="1" t="s">
        <v>38</v>
      </c>
      <c r="J62" s="1">
        <v>1</v>
      </c>
      <c r="L62" s="1" t="s">
        <v>39</v>
      </c>
      <c r="M62" s="1" t="s">
        <v>40</v>
      </c>
      <c r="N62" s="1" t="s">
        <v>41</v>
      </c>
    </row>
    <row r="63" spans="1:14" s="1" customFormat="1" x14ac:dyDescent="0.25">
      <c r="A63" s="7">
        <v>62</v>
      </c>
      <c r="B63" s="1" t="s">
        <v>78</v>
      </c>
      <c r="D63" s="1" t="s">
        <v>92</v>
      </c>
      <c r="E63" s="1">
        <v>10</v>
      </c>
      <c r="F63" s="1" t="str">
        <f t="shared" si="4"/>
        <v>Limpar_Modelo3</v>
      </c>
      <c r="G63" s="1" t="s">
        <v>37</v>
      </c>
      <c r="I63" s="1" t="s">
        <v>38</v>
      </c>
      <c r="J63" s="1">
        <v>1</v>
      </c>
      <c r="L63" s="1" t="s">
        <v>39</v>
      </c>
      <c r="M63" s="1" t="s">
        <v>40</v>
      </c>
      <c r="N63" s="1" t="s">
        <v>41</v>
      </c>
    </row>
    <row r="64" spans="1:14" s="1" customFormat="1" x14ac:dyDescent="0.25">
      <c r="A64" s="7">
        <v>63</v>
      </c>
      <c r="B64" s="1" t="s">
        <v>78</v>
      </c>
      <c r="D64" s="1" t="s">
        <v>93</v>
      </c>
      <c r="E64" s="1">
        <v>10</v>
      </c>
      <c r="F64" s="1" t="str">
        <f t="shared" si="4"/>
        <v>CFrio_Modelo3</v>
      </c>
      <c r="G64" s="1" t="s">
        <v>37</v>
      </c>
      <c r="I64" s="1" t="s">
        <v>38</v>
      </c>
      <c r="J64" s="1">
        <v>1</v>
      </c>
      <c r="L64" s="1" t="s">
        <v>39</v>
      </c>
      <c r="M64" s="1" t="s">
        <v>40</v>
      </c>
      <c r="N64" s="1" t="s">
        <v>41</v>
      </c>
    </row>
    <row r="65" spans="1:14" s="1" customFormat="1" x14ac:dyDescent="0.25">
      <c r="A65" s="7">
        <v>64</v>
      </c>
      <c r="B65" s="1" t="s">
        <v>78</v>
      </c>
      <c r="D65" s="1" t="s">
        <v>99</v>
      </c>
      <c r="E65" s="1">
        <v>10</v>
      </c>
      <c r="F65" s="1" t="str">
        <f t="shared" si="4"/>
        <v>DesenformarA_Modelo3</v>
      </c>
      <c r="G65" s="1" t="s">
        <v>37</v>
      </c>
      <c r="I65" s="1" t="s">
        <v>38</v>
      </c>
      <c r="J65" s="1">
        <v>1</v>
      </c>
      <c r="L65" s="1" t="s">
        <v>39</v>
      </c>
      <c r="M65" s="1" t="s">
        <v>40</v>
      </c>
      <c r="N65" s="1" t="s">
        <v>41</v>
      </c>
    </row>
    <row r="66" spans="1:14" s="1" customFormat="1" x14ac:dyDescent="0.25">
      <c r="A66" s="7">
        <v>65</v>
      </c>
      <c r="B66" s="1" t="s">
        <v>78</v>
      </c>
      <c r="D66" s="1" t="s">
        <v>100</v>
      </c>
      <c r="E66" s="1">
        <v>10</v>
      </c>
      <c r="F66" s="1" t="str">
        <f t="shared" si="4"/>
        <v>DesenformarM_Modelo3</v>
      </c>
      <c r="G66" s="1" t="s">
        <v>37</v>
      </c>
      <c r="I66" s="1" t="s">
        <v>38</v>
      </c>
      <c r="J66" s="1">
        <v>1</v>
      </c>
      <c r="L66" s="1" t="s">
        <v>39</v>
      </c>
      <c r="M66" s="1" t="s">
        <v>40</v>
      </c>
      <c r="N66" s="1" t="s">
        <v>41</v>
      </c>
    </row>
  </sheetData>
  <autoFilter ref="A1:N1"/>
  <pageMargins left="0.7" right="0.7" top="0.75" bottom="0.75" header="0.3" footer="0.3"/>
  <pageSetup paperSize="9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"/>
  <sheetViews>
    <sheetView workbookViewId="0">
      <selection activeCell="A2" sqref="A2"/>
    </sheetView>
  </sheetViews>
  <sheetFormatPr defaultColWidth="9.140625" defaultRowHeight="15" x14ac:dyDescent="0.25"/>
  <cols>
    <col min="1" max="1" width="11.85546875" style="1" bestFit="1" customWidth="1"/>
    <col min="2" max="2" width="15.7109375" style="1" bestFit="1" customWidth="1"/>
    <col min="3" max="3" width="17.140625" style="1" bestFit="1" customWidth="1"/>
    <col min="4" max="4" width="17.7109375" style="1" bestFit="1" customWidth="1"/>
    <col min="5" max="5" width="14.85546875" style="1" bestFit="1" customWidth="1"/>
    <col min="6" max="6" width="19.140625" style="1" bestFit="1" customWidth="1"/>
    <col min="7" max="7" width="17.42578125" style="1" bestFit="1" customWidth="1"/>
    <col min="8" max="8" width="14.5703125" style="1" bestFit="1" customWidth="1"/>
    <col min="9" max="9" width="13.42578125" style="1" bestFit="1" customWidth="1"/>
    <col min="10" max="10" width="18.5703125" style="1" bestFit="1" customWidth="1"/>
    <col min="11" max="16384" width="9.140625" style="1"/>
  </cols>
  <sheetData>
    <row r="1" spans="1:11" x14ac:dyDescent="0.25">
      <c r="A1" s="1" t="s">
        <v>103</v>
      </c>
      <c r="B1" s="1" t="s">
        <v>106</v>
      </c>
      <c r="C1" s="1" t="s">
        <v>107</v>
      </c>
      <c r="D1" s="1" t="s">
        <v>30</v>
      </c>
      <c r="E1" s="1" t="s">
        <v>31</v>
      </c>
      <c r="F1" s="1" t="s">
        <v>32</v>
      </c>
      <c r="G1" s="1" t="s">
        <v>33</v>
      </c>
      <c r="H1" s="1" t="s">
        <v>34</v>
      </c>
      <c r="I1" s="1" t="s">
        <v>35</v>
      </c>
      <c r="J1" s="1" t="s">
        <v>36</v>
      </c>
      <c r="K1" s="3"/>
    </row>
    <row r="2" spans="1:11" x14ac:dyDescent="0.25">
      <c r="A2" s="1">
        <v>16</v>
      </c>
      <c r="B2" s="1" t="s">
        <v>59</v>
      </c>
      <c r="C2" s="1" t="s">
        <v>137</v>
      </c>
      <c r="D2" s="1" t="s">
        <v>138</v>
      </c>
      <c r="E2" s="1" t="s">
        <v>60</v>
      </c>
      <c r="G2" s="1">
        <v>1</v>
      </c>
      <c r="H2" s="1">
        <v>1</v>
      </c>
      <c r="I2" s="1" t="s">
        <v>61</v>
      </c>
      <c r="J2" s="1" t="s">
        <v>139</v>
      </c>
    </row>
    <row r="3" spans="1:11" x14ac:dyDescent="0.25">
      <c r="A3" s="1">
        <v>36</v>
      </c>
      <c r="B3" s="1" t="s">
        <v>59</v>
      </c>
      <c r="C3" s="1" t="s">
        <v>137</v>
      </c>
      <c r="D3" s="1" t="s">
        <v>138</v>
      </c>
      <c r="E3" s="1" t="s">
        <v>60</v>
      </c>
      <c r="G3" s="1">
        <v>1</v>
      </c>
      <c r="H3" s="1">
        <v>1</v>
      </c>
      <c r="I3" s="1" t="s">
        <v>61</v>
      </c>
      <c r="J3" s="1" t="s">
        <v>139</v>
      </c>
    </row>
    <row r="4" spans="1:11" x14ac:dyDescent="0.25">
      <c r="A4" s="1">
        <v>59</v>
      </c>
      <c r="B4" s="1" t="s">
        <v>59</v>
      </c>
      <c r="C4" s="1" t="s">
        <v>137</v>
      </c>
      <c r="D4" s="1" t="s">
        <v>138</v>
      </c>
      <c r="E4" s="1" t="s">
        <v>60</v>
      </c>
      <c r="G4" s="1">
        <v>1</v>
      </c>
      <c r="H4" s="1">
        <v>1</v>
      </c>
      <c r="I4" s="1" t="s">
        <v>61</v>
      </c>
      <c r="J4" s="1" t="s">
        <v>139</v>
      </c>
    </row>
  </sheetData>
  <autoFilter ref="A1:J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"/>
  <sheetViews>
    <sheetView workbookViewId="0">
      <selection activeCell="A2" sqref="A2"/>
    </sheetView>
  </sheetViews>
  <sheetFormatPr defaultColWidth="9.140625" defaultRowHeight="15" x14ac:dyDescent="0.25"/>
  <cols>
    <col min="1" max="1" width="9.42578125" style="1" bestFit="1" customWidth="1"/>
    <col min="2" max="2" width="7.28515625" style="1" customWidth="1"/>
    <col min="3" max="3" width="12" style="1" bestFit="1" customWidth="1"/>
    <col min="4" max="4" width="6.85546875" style="1" bestFit="1" customWidth="1"/>
    <col min="5" max="5" width="12" style="1" bestFit="1" customWidth="1"/>
    <col min="6" max="6" width="12.28515625" style="1" bestFit="1" customWidth="1"/>
    <col min="7" max="7" width="30.7109375" style="1" bestFit="1" customWidth="1"/>
    <col min="8" max="8" width="6.140625" style="1" bestFit="1" customWidth="1"/>
    <col min="9" max="9" width="11.28515625" style="1" bestFit="1" customWidth="1"/>
    <col min="10" max="10" width="9.28515625" style="1" bestFit="1" customWidth="1"/>
    <col min="11" max="11" width="12.7109375" style="1" bestFit="1" customWidth="1"/>
    <col min="12" max="12" width="10.85546875" style="1" bestFit="1" customWidth="1"/>
    <col min="13" max="13" width="7.85546875" style="1" bestFit="1" customWidth="1"/>
    <col min="14" max="14" width="7.7109375" style="1" bestFit="1" customWidth="1"/>
    <col min="15" max="15" width="7" style="1" bestFit="1" customWidth="1"/>
    <col min="16" max="16" width="14" style="1" bestFit="1" customWidth="1"/>
    <col min="17" max="17" width="14.42578125" style="1" bestFit="1" customWidth="1"/>
    <col min="18" max="16384" width="9.140625" style="1"/>
  </cols>
  <sheetData>
    <row r="1" spans="1:4" x14ac:dyDescent="0.25">
      <c r="A1" s="1" t="s">
        <v>145</v>
      </c>
      <c r="B1" s="1" t="s">
        <v>47</v>
      </c>
      <c r="C1" s="1" t="s">
        <v>146</v>
      </c>
      <c r="D1" s="1" t="s">
        <v>147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7"/>
  <sheetViews>
    <sheetView workbookViewId="0">
      <selection activeCell="C15" sqref="C15"/>
    </sheetView>
  </sheetViews>
  <sheetFormatPr defaultRowHeight="15" x14ac:dyDescent="0.25"/>
  <cols>
    <col min="1" max="1" width="30.7109375" bestFit="1" customWidth="1"/>
    <col min="3" max="3" width="30.7109375" customWidth="1"/>
  </cols>
  <sheetData>
    <row r="1" spans="1:3" x14ac:dyDescent="0.25">
      <c r="A1" t="s">
        <v>108</v>
      </c>
      <c r="B1" t="s">
        <v>109</v>
      </c>
      <c r="C1" t="s">
        <v>114</v>
      </c>
    </row>
    <row r="2" spans="1:3" x14ac:dyDescent="0.25">
      <c r="A2" s="1" t="s">
        <v>85</v>
      </c>
      <c r="B2">
        <v>1</v>
      </c>
      <c r="C2" t="s">
        <v>110</v>
      </c>
    </row>
    <row r="3" spans="1:3" x14ac:dyDescent="0.25">
      <c r="A3" s="1" t="s">
        <v>86</v>
      </c>
      <c r="B3">
        <v>1</v>
      </c>
    </row>
    <row r="4" spans="1:3" x14ac:dyDescent="0.25">
      <c r="A4" s="1" t="s">
        <v>95</v>
      </c>
      <c r="B4" s="1">
        <v>1</v>
      </c>
    </row>
    <row r="5" spans="1:3" x14ac:dyDescent="0.25">
      <c r="A5" s="1" t="s">
        <v>58</v>
      </c>
      <c r="B5" s="1">
        <v>1</v>
      </c>
    </row>
    <row r="6" spans="1:3" x14ac:dyDescent="0.25">
      <c r="A6" s="1" t="s">
        <v>111</v>
      </c>
      <c r="B6" s="1">
        <v>1</v>
      </c>
    </row>
    <row r="7" spans="1:3" x14ac:dyDescent="0.25">
      <c r="A7" s="1" t="s">
        <v>112</v>
      </c>
      <c r="B7" s="1">
        <v>2</v>
      </c>
    </row>
    <row r="8" spans="1:3" x14ac:dyDescent="0.25">
      <c r="A8" s="1" t="s">
        <v>88</v>
      </c>
      <c r="B8" s="1">
        <v>1</v>
      </c>
    </row>
    <row r="9" spans="1:3" x14ac:dyDescent="0.25">
      <c r="A9" s="1" t="s">
        <v>97</v>
      </c>
      <c r="B9" s="1">
        <v>1</v>
      </c>
    </row>
    <row r="10" spans="1:3" x14ac:dyDescent="0.25">
      <c r="A10" s="1" t="s">
        <v>98</v>
      </c>
      <c r="B10" s="1">
        <v>1</v>
      </c>
    </row>
    <row r="11" spans="1:3" x14ac:dyDescent="0.25">
      <c r="A11" s="1" t="s">
        <v>94</v>
      </c>
      <c r="B11" s="1">
        <v>1</v>
      </c>
    </row>
    <row r="12" spans="1:3" x14ac:dyDescent="0.25">
      <c r="A12" s="1" t="s">
        <v>89</v>
      </c>
      <c r="B12" s="1">
        <v>2</v>
      </c>
      <c r="C12" s="1" t="s">
        <v>113</v>
      </c>
    </row>
    <row r="13" spans="1:3" x14ac:dyDescent="0.25">
      <c r="A13" s="1" t="s">
        <v>57</v>
      </c>
      <c r="B13" s="1">
        <v>1</v>
      </c>
    </row>
    <row r="14" spans="1:3" x14ac:dyDescent="0.25">
      <c r="A14" s="1" t="s">
        <v>91</v>
      </c>
      <c r="B14" s="1">
        <v>1</v>
      </c>
    </row>
    <row r="15" spans="1:3" x14ac:dyDescent="0.25">
      <c r="A15" s="1" t="s">
        <v>92</v>
      </c>
      <c r="B15" s="1">
        <v>1</v>
      </c>
    </row>
    <row r="16" spans="1:3" x14ac:dyDescent="0.25">
      <c r="A16" s="1" t="s">
        <v>99</v>
      </c>
      <c r="B16" s="1">
        <v>1</v>
      </c>
    </row>
    <row r="17" spans="1:2" x14ac:dyDescent="0.25">
      <c r="A17" s="1" t="s">
        <v>100</v>
      </c>
      <c r="B17" s="1">
        <v>1</v>
      </c>
    </row>
  </sheetData>
  <autoFilter ref="A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H48"/>
  <sheetViews>
    <sheetView tabSelected="1" workbookViewId="0">
      <selection activeCell="A2" sqref="A2"/>
    </sheetView>
  </sheetViews>
  <sheetFormatPr defaultRowHeight="15" x14ac:dyDescent="0.25"/>
  <cols>
    <col min="1" max="1" width="8.7109375" style="1"/>
    <col min="2" max="3" width="9.140625" style="1"/>
    <col min="4" max="4" width="11.42578125" bestFit="1" customWidth="1"/>
    <col min="5" max="5" width="13.85546875" bestFit="1" customWidth="1"/>
    <col min="6" max="6" width="14.7109375" customWidth="1"/>
  </cols>
  <sheetData>
    <row r="1" spans="1:8" x14ac:dyDescent="0.25">
      <c r="A1" s="1" t="s">
        <v>150</v>
      </c>
      <c r="B1" s="3" t="s">
        <v>69</v>
      </c>
      <c r="C1" s="3" t="s">
        <v>70</v>
      </c>
      <c r="D1" s="3" t="s">
        <v>83</v>
      </c>
      <c r="E1" s="3" t="s">
        <v>71</v>
      </c>
      <c r="F1" s="3" t="s">
        <v>64</v>
      </c>
    </row>
    <row r="2" spans="1:8" x14ac:dyDescent="0.25">
      <c r="A2" s="1">
        <v>1</v>
      </c>
      <c r="B2" s="1" t="s">
        <v>66</v>
      </c>
      <c r="C2" s="1">
        <v>37</v>
      </c>
      <c r="D2">
        <v>1</v>
      </c>
      <c r="E2" t="b">
        <v>1</v>
      </c>
      <c r="F2">
        <v>0</v>
      </c>
      <c r="H2" t="s">
        <v>144</v>
      </c>
    </row>
    <row r="3" spans="1:8" s="1" customFormat="1" x14ac:dyDescent="0.25">
      <c r="A3" s="1">
        <v>2</v>
      </c>
      <c r="B3" s="1" t="s">
        <v>66</v>
      </c>
      <c r="C3" s="1">
        <v>37</v>
      </c>
      <c r="D3" s="1">
        <v>1</v>
      </c>
      <c r="E3" s="1" t="b">
        <v>1</v>
      </c>
      <c r="F3" s="1">
        <v>0</v>
      </c>
      <c r="H3" s="1" t="s">
        <v>144</v>
      </c>
    </row>
    <row r="4" spans="1:8" s="1" customFormat="1" x14ac:dyDescent="0.25">
      <c r="A4" s="1">
        <v>3</v>
      </c>
      <c r="B4" s="1" t="s">
        <v>66</v>
      </c>
      <c r="C4" s="1">
        <v>37</v>
      </c>
      <c r="D4" s="1">
        <v>1</v>
      </c>
      <c r="E4" s="1" t="b">
        <v>1</v>
      </c>
      <c r="F4" s="1">
        <v>0</v>
      </c>
      <c r="H4" s="1" t="s">
        <v>144</v>
      </c>
    </row>
    <row r="5" spans="1:8" x14ac:dyDescent="0.25">
      <c r="A5" s="1">
        <v>4</v>
      </c>
      <c r="B5" s="1" t="s">
        <v>66</v>
      </c>
      <c r="C5" s="1">
        <v>38</v>
      </c>
      <c r="D5" s="1">
        <v>1</v>
      </c>
      <c r="E5" s="1" t="b">
        <v>1</v>
      </c>
      <c r="F5">
        <v>0</v>
      </c>
    </row>
    <row r="6" spans="1:8" s="1" customFormat="1" x14ac:dyDescent="0.25">
      <c r="A6" s="1">
        <v>5</v>
      </c>
      <c r="B6" s="1" t="s">
        <v>66</v>
      </c>
      <c r="C6" s="1">
        <v>38</v>
      </c>
      <c r="D6" s="1">
        <v>1</v>
      </c>
      <c r="E6" s="1" t="b">
        <v>1</v>
      </c>
      <c r="F6" s="1">
        <v>0</v>
      </c>
    </row>
    <row r="7" spans="1:8" s="1" customFormat="1" x14ac:dyDescent="0.25">
      <c r="A7" s="1">
        <v>6</v>
      </c>
      <c r="B7" s="1" t="s">
        <v>66</v>
      </c>
      <c r="C7" s="1">
        <v>38</v>
      </c>
      <c r="D7" s="1">
        <v>1</v>
      </c>
      <c r="E7" s="1" t="b">
        <v>1</v>
      </c>
      <c r="F7" s="1">
        <v>0</v>
      </c>
    </row>
    <row r="8" spans="1:8" s="1" customFormat="1" x14ac:dyDescent="0.25">
      <c r="A8" s="1">
        <v>7</v>
      </c>
      <c r="B8" s="1" t="s">
        <v>66</v>
      </c>
      <c r="C8" s="1">
        <v>38</v>
      </c>
      <c r="D8" s="1">
        <v>1</v>
      </c>
      <c r="E8" s="1" t="b">
        <v>1</v>
      </c>
      <c r="F8" s="1">
        <v>0</v>
      </c>
    </row>
    <row r="9" spans="1:8" s="1" customFormat="1" x14ac:dyDescent="0.25">
      <c r="A9" s="1">
        <v>8</v>
      </c>
      <c r="B9" s="1" t="s">
        <v>66</v>
      </c>
      <c r="C9" s="1">
        <v>38</v>
      </c>
      <c r="D9" s="1">
        <v>1</v>
      </c>
      <c r="E9" s="1" t="b">
        <v>1</v>
      </c>
      <c r="F9" s="1">
        <v>0</v>
      </c>
    </row>
    <row r="10" spans="1:8" x14ac:dyDescent="0.25">
      <c r="A10" s="1">
        <v>9</v>
      </c>
      <c r="B10" s="1" t="s">
        <v>66</v>
      </c>
      <c r="C10" s="1">
        <v>39</v>
      </c>
      <c r="D10" s="1">
        <v>1</v>
      </c>
      <c r="E10" s="1" t="b">
        <v>1</v>
      </c>
      <c r="F10">
        <v>0</v>
      </c>
    </row>
    <row r="11" spans="1:8" s="1" customFormat="1" x14ac:dyDescent="0.25">
      <c r="A11" s="1">
        <v>10</v>
      </c>
      <c r="B11" s="1" t="s">
        <v>66</v>
      </c>
      <c r="C11" s="1">
        <v>39</v>
      </c>
      <c r="D11" s="1">
        <v>1</v>
      </c>
      <c r="E11" s="1" t="b">
        <v>1</v>
      </c>
      <c r="F11" s="1">
        <v>0</v>
      </c>
    </row>
    <row r="12" spans="1:8" s="1" customFormat="1" x14ac:dyDescent="0.25">
      <c r="A12" s="1">
        <v>11</v>
      </c>
      <c r="B12" s="1" t="s">
        <v>66</v>
      </c>
      <c r="C12" s="1">
        <v>39</v>
      </c>
      <c r="D12" s="1">
        <v>1</v>
      </c>
      <c r="E12" s="1" t="b">
        <v>1</v>
      </c>
      <c r="F12" s="1">
        <v>0</v>
      </c>
    </row>
    <row r="13" spans="1:8" s="1" customFormat="1" x14ac:dyDescent="0.25">
      <c r="A13" s="1">
        <v>12</v>
      </c>
      <c r="B13" s="1" t="s">
        <v>66</v>
      </c>
      <c r="C13" s="1">
        <v>39</v>
      </c>
      <c r="D13" s="1">
        <v>1</v>
      </c>
      <c r="E13" s="1" t="b">
        <v>1</v>
      </c>
      <c r="F13" s="1">
        <v>0</v>
      </c>
    </row>
    <row r="14" spans="1:8" s="1" customFormat="1" x14ac:dyDescent="0.25">
      <c r="A14" s="1">
        <v>13</v>
      </c>
      <c r="B14" s="1" t="s">
        <v>66</v>
      </c>
      <c r="C14" s="1">
        <v>39</v>
      </c>
      <c r="D14" s="1">
        <v>1</v>
      </c>
      <c r="E14" s="1" t="b">
        <v>1</v>
      </c>
      <c r="F14" s="1">
        <v>0</v>
      </c>
    </row>
    <row r="15" spans="1:8" s="1" customFormat="1" x14ac:dyDescent="0.25">
      <c r="A15" s="1">
        <v>14</v>
      </c>
      <c r="B15" s="1" t="s">
        <v>66</v>
      </c>
      <c r="C15" s="1">
        <v>39</v>
      </c>
      <c r="D15" s="1">
        <v>1</v>
      </c>
      <c r="E15" s="1" t="b">
        <v>1</v>
      </c>
      <c r="F15" s="1">
        <v>0</v>
      </c>
    </row>
    <row r="16" spans="1:8" x14ac:dyDescent="0.25">
      <c r="A16" s="1">
        <v>15</v>
      </c>
      <c r="B16" s="1" t="s">
        <v>66</v>
      </c>
      <c r="C16" s="1">
        <v>40</v>
      </c>
      <c r="D16" s="1">
        <v>1</v>
      </c>
      <c r="E16" s="1" t="b">
        <v>1</v>
      </c>
      <c r="F16">
        <v>0</v>
      </c>
    </row>
    <row r="17" spans="1:6" s="1" customFormat="1" x14ac:dyDescent="0.25">
      <c r="A17" s="1">
        <v>15</v>
      </c>
      <c r="B17" s="1" t="s">
        <v>66</v>
      </c>
      <c r="C17" s="1">
        <v>40</v>
      </c>
      <c r="D17" s="1">
        <v>1</v>
      </c>
      <c r="E17" s="1" t="b">
        <v>1</v>
      </c>
      <c r="F17" s="1">
        <v>0</v>
      </c>
    </row>
    <row r="18" spans="1:6" s="1" customFormat="1" x14ac:dyDescent="0.25">
      <c r="A18" s="1">
        <v>15</v>
      </c>
      <c r="B18" s="1" t="s">
        <v>66</v>
      </c>
      <c r="C18" s="1">
        <v>40</v>
      </c>
      <c r="D18" s="1">
        <v>1</v>
      </c>
      <c r="E18" s="1" t="b">
        <v>1</v>
      </c>
      <c r="F18" s="1">
        <v>0</v>
      </c>
    </row>
    <row r="19" spans="1:6" s="1" customFormat="1" x14ac:dyDescent="0.25">
      <c r="A19" s="1">
        <v>15</v>
      </c>
      <c r="B19" s="1" t="s">
        <v>66</v>
      </c>
      <c r="C19" s="1">
        <v>40</v>
      </c>
      <c r="D19" s="1">
        <v>1</v>
      </c>
      <c r="E19" s="1" t="b">
        <v>1</v>
      </c>
      <c r="F19" s="1">
        <v>0</v>
      </c>
    </row>
    <row r="20" spans="1:6" s="1" customFormat="1" x14ac:dyDescent="0.25">
      <c r="A20" s="1">
        <v>15</v>
      </c>
      <c r="B20" s="1" t="s">
        <v>66</v>
      </c>
      <c r="C20" s="1">
        <v>40</v>
      </c>
      <c r="D20" s="1">
        <v>1</v>
      </c>
      <c r="E20" s="1" t="b">
        <v>1</v>
      </c>
      <c r="F20" s="1">
        <v>0</v>
      </c>
    </row>
    <row r="21" spans="1:6" s="1" customFormat="1" x14ac:dyDescent="0.25">
      <c r="A21" s="1">
        <v>15</v>
      </c>
      <c r="B21" s="1" t="s">
        <v>66</v>
      </c>
      <c r="C21" s="1">
        <v>40</v>
      </c>
      <c r="D21" s="1">
        <v>1</v>
      </c>
      <c r="E21" s="1" t="b">
        <v>1</v>
      </c>
      <c r="F21" s="1">
        <v>0</v>
      </c>
    </row>
    <row r="22" spans="1:6" s="1" customFormat="1" x14ac:dyDescent="0.25">
      <c r="A22" s="1">
        <v>15</v>
      </c>
      <c r="B22" s="1" t="s">
        <v>66</v>
      </c>
      <c r="C22" s="1">
        <v>40</v>
      </c>
      <c r="D22" s="1">
        <v>1</v>
      </c>
      <c r="E22" s="1" t="b">
        <v>1</v>
      </c>
      <c r="F22" s="1">
        <v>0</v>
      </c>
    </row>
    <row r="23" spans="1:6" x14ac:dyDescent="0.25">
      <c r="A23" s="1">
        <v>11</v>
      </c>
      <c r="B23" s="1" t="s">
        <v>66</v>
      </c>
      <c r="C23" s="1">
        <v>41</v>
      </c>
      <c r="D23" s="1">
        <v>1</v>
      </c>
      <c r="E23" s="1" t="b">
        <v>1</v>
      </c>
      <c r="F23">
        <v>0</v>
      </c>
    </row>
    <row r="24" spans="1:6" s="1" customFormat="1" x14ac:dyDescent="0.25">
      <c r="A24" s="1">
        <v>11</v>
      </c>
      <c r="B24" s="1" t="s">
        <v>66</v>
      </c>
      <c r="C24" s="1">
        <v>41</v>
      </c>
      <c r="D24" s="1">
        <v>1</v>
      </c>
      <c r="E24" s="1" t="b">
        <v>1</v>
      </c>
      <c r="F24" s="1">
        <v>0</v>
      </c>
    </row>
    <row r="25" spans="1:6" s="1" customFormat="1" x14ac:dyDescent="0.25">
      <c r="A25" s="1">
        <v>11</v>
      </c>
      <c r="B25" s="1" t="s">
        <v>66</v>
      </c>
      <c r="C25" s="1">
        <v>41</v>
      </c>
      <c r="D25" s="1">
        <v>1</v>
      </c>
      <c r="E25" s="1" t="b">
        <v>1</v>
      </c>
      <c r="F25" s="1">
        <v>0</v>
      </c>
    </row>
    <row r="26" spans="1:6" s="1" customFormat="1" x14ac:dyDescent="0.25">
      <c r="A26" s="1">
        <v>11</v>
      </c>
      <c r="B26" s="1" t="s">
        <v>66</v>
      </c>
      <c r="C26" s="1">
        <v>41</v>
      </c>
      <c r="D26" s="1">
        <v>1</v>
      </c>
      <c r="E26" s="1" t="b">
        <v>1</v>
      </c>
      <c r="F26" s="1">
        <v>0</v>
      </c>
    </row>
    <row r="27" spans="1:6" s="1" customFormat="1" x14ac:dyDescent="0.25">
      <c r="A27" s="1">
        <v>11</v>
      </c>
      <c r="B27" s="1" t="s">
        <v>66</v>
      </c>
      <c r="C27" s="1">
        <v>41</v>
      </c>
      <c r="D27" s="1">
        <v>1</v>
      </c>
      <c r="E27" s="1" t="b">
        <v>1</v>
      </c>
      <c r="F27" s="1">
        <v>0</v>
      </c>
    </row>
    <row r="28" spans="1:6" x14ac:dyDescent="0.25">
      <c r="A28" s="1">
        <v>12</v>
      </c>
      <c r="B28" s="1" t="s">
        <v>66</v>
      </c>
      <c r="C28" s="1">
        <v>42</v>
      </c>
      <c r="D28" s="1">
        <v>1</v>
      </c>
      <c r="E28" s="1" t="b">
        <v>1</v>
      </c>
      <c r="F28">
        <v>0</v>
      </c>
    </row>
    <row r="29" spans="1:6" s="1" customFormat="1" x14ac:dyDescent="0.25">
      <c r="A29" s="1">
        <v>12</v>
      </c>
      <c r="B29" s="1" t="s">
        <v>66</v>
      </c>
      <c r="C29" s="1">
        <v>42</v>
      </c>
      <c r="D29" s="1">
        <v>1</v>
      </c>
      <c r="E29" s="1" t="b">
        <v>1</v>
      </c>
      <c r="F29" s="1">
        <v>0</v>
      </c>
    </row>
    <row r="30" spans="1:6" s="1" customFormat="1" x14ac:dyDescent="0.25">
      <c r="A30" s="1">
        <v>12</v>
      </c>
      <c r="B30" s="1" t="s">
        <v>66</v>
      </c>
      <c r="C30" s="1">
        <v>42</v>
      </c>
      <c r="D30" s="1">
        <v>1</v>
      </c>
      <c r="E30" s="1" t="b">
        <v>1</v>
      </c>
      <c r="F30" s="1">
        <v>0</v>
      </c>
    </row>
    <row r="31" spans="1:6" s="1" customFormat="1" x14ac:dyDescent="0.25">
      <c r="A31" s="1">
        <v>12</v>
      </c>
      <c r="B31" s="1" t="s">
        <v>66</v>
      </c>
      <c r="C31" s="1">
        <v>42</v>
      </c>
      <c r="D31" s="1">
        <v>1</v>
      </c>
      <c r="E31" s="1" t="b">
        <v>1</v>
      </c>
      <c r="F31" s="1">
        <v>0</v>
      </c>
    </row>
    <row r="32" spans="1:6" x14ac:dyDescent="0.25">
      <c r="A32" s="1">
        <v>13</v>
      </c>
      <c r="B32" s="1" t="s">
        <v>66</v>
      </c>
      <c r="C32" s="1">
        <v>43</v>
      </c>
      <c r="D32" s="1">
        <v>1</v>
      </c>
      <c r="E32" s="1" t="b">
        <v>1</v>
      </c>
      <c r="F32">
        <v>0</v>
      </c>
    </row>
    <row r="33" spans="1:6" s="1" customFormat="1" x14ac:dyDescent="0.25">
      <c r="A33" s="1">
        <v>13</v>
      </c>
      <c r="B33" s="1" t="s">
        <v>66</v>
      </c>
      <c r="C33" s="1">
        <v>43</v>
      </c>
      <c r="D33" s="1">
        <v>1</v>
      </c>
      <c r="E33" s="1" t="b">
        <v>1</v>
      </c>
      <c r="F33" s="1">
        <v>0</v>
      </c>
    </row>
    <row r="34" spans="1:6" s="1" customFormat="1" x14ac:dyDescent="0.25">
      <c r="A34" s="1">
        <v>13</v>
      </c>
      <c r="B34" s="1" t="s">
        <v>66</v>
      </c>
      <c r="C34" s="1">
        <v>43</v>
      </c>
      <c r="D34" s="1">
        <v>1</v>
      </c>
      <c r="E34" s="1" t="b">
        <v>1</v>
      </c>
      <c r="F34" s="1">
        <v>0</v>
      </c>
    </row>
    <row r="35" spans="1:6" x14ac:dyDescent="0.25">
      <c r="A35" s="1">
        <v>16</v>
      </c>
      <c r="B35" s="1" t="s">
        <v>67</v>
      </c>
      <c r="C35" s="1">
        <v>37</v>
      </c>
      <c r="D35" s="1">
        <v>2</v>
      </c>
      <c r="E35" s="1" t="b">
        <v>1</v>
      </c>
      <c r="F35">
        <v>0</v>
      </c>
    </row>
    <row r="36" spans="1:6" x14ac:dyDescent="0.25">
      <c r="A36" s="1">
        <v>17</v>
      </c>
      <c r="B36" s="1" t="s">
        <v>67</v>
      </c>
      <c r="C36" s="1">
        <v>38</v>
      </c>
      <c r="D36" s="1">
        <v>2</v>
      </c>
      <c r="E36" s="1" t="b">
        <v>1</v>
      </c>
      <c r="F36">
        <v>0</v>
      </c>
    </row>
    <row r="37" spans="1:6" x14ac:dyDescent="0.25">
      <c r="A37" s="1">
        <v>18</v>
      </c>
      <c r="B37" s="1" t="s">
        <v>67</v>
      </c>
      <c r="C37" s="1">
        <v>39</v>
      </c>
      <c r="D37" s="1">
        <v>2</v>
      </c>
      <c r="E37" s="1" t="b">
        <v>1</v>
      </c>
      <c r="F37">
        <v>0</v>
      </c>
    </row>
    <row r="38" spans="1:6" x14ac:dyDescent="0.25">
      <c r="A38" s="1">
        <v>19</v>
      </c>
      <c r="B38" s="1" t="s">
        <v>67</v>
      </c>
      <c r="C38" s="1">
        <v>40</v>
      </c>
      <c r="D38" s="1">
        <v>2</v>
      </c>
      <c r="E38" s="1" t="b">
        <v>1</v>
      </c>
      <c r="F38">
        <v>0</v>
      </c>
    </row>
    <row r="39" spans="1:6" x14ac:dyDescent="0.25">
      <c r="A39" s="1">
        <v>20</v>
      </c>
      <c r="B39" s="1" t="s">
        <v>67</v>
      </c>
      <c r="C39" s="1">
        <v>41</v>
      </c>
      <c r="D39" s="1">
        <v>2</v>
      </c>
      <c r="E39" s="1" t="b">
        <v>1</v>
      </c>
      <c r="F39">
        <v>0</v>
      </c>
    </row>
    <row r="40" spans="1:6" x14ac:dyDescent="0.25">
      <c r="A40" s="1">
        <v>21</v>
      </c>
      <c r="B40" s="1" t="s">
        <v>67</v>
      </c>
      <c r="C40" s="1">
        <v>42</v>
      </c>
      <c r="D40" s="1">
        <v>2</v>
      </c>
      <c r="E40" s="1" t="b">
        <v>1</v>
      </c>
      <c r="F40">
        <v>0</v>
      </c>
    </row>
    <row r="41" spans="1:6" x14ac:dyDescent="0.25">
      <c r="A41" s="1">
        <v>22</v>
      </c>
      <c r="B41" s="1" t="s">
        <v>67</v>
      </c>
      <c r="C41" s="1">
        <v>43</v>
      </c>
      <c r="D41" s="1">
        <v>2</v>
      </c>
      <c r="E41" s="1" t="b">
        <v>1</v>
      </c>
      <c r="F41">
        <v>0</v>
      </c>
    </row>
    <row r="42" spans="1:6" s="1" customFormat="1" x14ac:dyDescent="0.25">
      <c r="A42" s="1">
        <v>23</v>
      </c>
      <c r="B42" s="1" t="s">
        <v>68</v>
      </c>
      <c r="C42" s="1">
        <v>37</v>
      </c>
      <c r="D42" s="1">
        <v>3</v>
      </c>
      <c r="E42" s="1" t="b">
        <v>1</v>
      </c>
      <c r="F42" s="1">
        <v>0</v>
      </c>
    </row>
    <row r="43" spans="1:6" s="1" customFormat="1" x14ac:dyDescent="0.25">
      <c r="A43" s="1">
        <v>24</v>
      </c>
      <c r="B43" s="1" t="s">
        <v>68</v>
      </c>
      <c r="C43" s="1">
        <v>38</v>
      </c>
      <c r="D43" s="1">
        <v>3</v>
      </c>
      <c r="E43" s="1" t="b">
        <v>1</v>
      </c>
      <c r="F43" s="1">
        <v>0</v>
      </c>
    </row>
    <row r="44" spans="1:6" s="1" customFormat="1" x14ac:dyDescent="0.25">
      <c r="A44" s="1">
        <v>25</v>
      </c>
      <c r="B44" s="1" t="s">
        <v>68</v>
      </c>
      <c r="C44" s="1">
        <v>39</v>
      </c>
      <c r="D44" s="1">
        <v>3</v>
      </c>
      <c r="E44" s="1" t="b">
        <v>1</v>
      </c>
      <c r="F44" s="1">
        <v>0</v>
      </c>
    </row>
    <row r="45" spans="1:6" s="1" customFormat="1" x14ac:dyDescent="0.25">
      <c r="A45" s="1">
        <v>26</v>
      </c>
      <c r="B45" s="1" t="s">
        <v>68</v>
      </c>
      <c r="C45" s="1">
        <v>40</v>
      </c>
      <c r="D45" s="1">
        <v>3</v>
      </c>
      <c r="E45" s="1" t="b">
        <v>1</v>
      </c>
      <c r="F45" s="1">
        <v>0</v>
      </c>
    </row>
    <row r="46" spans="1:6" s="1" customFormat="1" x14ac:dyDescent="0.25">
      <c r="A46" s="1">
        <v>27</v>
      </c>
      <c r="B46" s="1" t="s">
        <v>68</v>
      </c>
      <c r="C46" s="1">
        <v>41</v>
      </c>
      <c r="D46" s="1">
        <v>3</v>
      </c>
      <c r="E46" s="1" t="b">
        <v>1</v>
      </c>
      <c r="F46" s="1">
        <v>0</v>
      </c>
    </row>
    <row r="47" spans="1:6" s="1" customFormat="1" x14ac:dyDescent="0.25">
      <c r="A47" s="1">
        <v>28</v>
      </c>
      <c r="B47" s="1" t="s">
        <v>68</v>
      </c>
      <c r="C47" s="1">
        <v>42</v>
      </c>
      <c r="D47" s="1">
        <v>3</v>
      </c>
      <c r="E47" s="1" t="b">
        <v>1</v>
      </c>
      <c r="F47" s="1">
        <v>0</v>
      </c>
    </row>
    <row r="48" spans="1:6" s="1" customFormat="1" x14ac:dyDescent="0.25">
      <c r="B48" s="1" t="s">
        <v>68</v>
      </c>
      <c r="C48" s="1">
        <v>43</v>
      </c>
      <c r="D48" s="1">
        <v>3</v>
      </c>
      <c r="E48" s="1" t="b">
        <v>1</v>
      </c>
      <c r="F48" s="1">
        <v>0</v>
      </c>
    </row>
  </sheetData>
  <autoFilter ref="B1:F1"/>
  <pageMargins left="0.7" right="0.7" top="0.75" bottom="0.75" header="0.3" footer="0.3"/>
  <pageSetup paperSize="9"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"/>
  <sheetViews>
    <sheetView workbookViewId="0">
      <selection activeCell="C15" sqref="C15"/>
    </sheetView>
  </sheetViews>
  <sheetFormatPr defaultRowHeight="15" x14ac:dyDescent="0.25"/>
  <cols>
    <col min="1" max="1" width="8.5703125" style="1" bestFit="1" customWidth="1"/>
    <col min="2" max="2" width="24" style="1" bestFit="1" customWidth="1"/>
    <col min="3" max="3" width="24.28515625" style="1" bestFit="1" customWidth="1"/>
    <col min="4" max="4" width="18.42578125" style="1" bestFit="1" customWidth="1"/>
  </cols>
  <sheetData>
    <row r="1" spans="1:4" x14ac:dyDescent="0.25">
      <c r="A1" s="3" t="s">
        <v>47</v>
      </c>
      <c r="B1" s="3" t="s">
        <v>3</v>
      </c>
      <c r="C1" s="3" t="s">
        <v>4</v>
      </c>
      <c r="D1" s="3" t="s">
        <v>2</v>
      </c>
    </row>
    <row r="2" spans="1:4" x14ac:dyDescent="0.25">
      <c r="A2" s="1" t="s">
        <v>5</v>
      </c>
      <c r="B2" s="1" t="s">
        <v>6</v>
      </c>
      <c r="C2" s="1" t="b">
        <v>0</v>
      </c>
      <c r="D2" s="1" t="s">
        <v>65</v>
      </c>
    </row>
    <row r="3" spans="1:4" x14ac:dyDescent="0.25">
      <c r="A3" s="1" t="s">
        <v>7</v>
      </c>
      <c r="B3" s="1" t="s">
        <v>6</v>
      </c>
      <c r="C3" s="1" t="b">
        <v>0</v>
      </c>
      <c r="D3" s="1" t="s">
        <v>65</v>
      </c>
    </row>
    <row r="4" spans="1:4" x14ac:dyDescent="0.25">
      <c r="A4" s="1" t="s">
        <v>8</v>
      </c>
      <c r="B4" s="1" t="s">
        <v>6</v>
      </c>
      <c r="C4" s="1" t="b">
        <v>0</v>
      </c>
      <c r="D4" s="1" t="s">
        <v>65</v>
      </c>
    </row>
    <row r="5" spans="1:4" x14ac:dyDescent="0.25">
      <c r="A5" s="1" t="s">
        <v>9</v>
      </c>
      <c r="B5" s="1" t="s">
        <v>6</v>
      </c>
      <c r="C5" s="1" t="b">
        <v>0</v>
      </c>
      <c r="D5" s="1" t="s">
        <v>65</v>
      </c>
    </row>
    <row r="6" spans="1:4" x14ac:dyDescent="0.25">
      <c r="A6" s="1" t="s">
        <v>19</v>
      </c>
      <c r="B6" s="1" t="s">
        <v>6</v>
      </c>
      <c r="C6" s="1" t="b">
        <v>0</v>
      </c>
      <c r="D6" s="1" t="s">
        <v>65</v>
      </c>
    </row>
    <row r="7" spans="1:4" x14ac:dyDescent="0.25">
      <c r="A7" s="1" t="s">
        <v>20</v>
      </c>
      <c r="B7" s="1" t="s">
        <v>6</v>
      </c>
      <c r="C7" s="1" t="b">
        <v>0</v>
      </c>
      <c r="D7" s="1" t="s">
        <v>65</v>
      </c>
    </row>
    <row r="8" spans="1:4" x14ac:dyDescent="0.25">
      <c r="A8" s="1" t="s">
        <v>21</v>
      </c>
      <c r="B8" s="1" t="s">
        <v>6</v>
      </c>
      <c r="C8" s="1" t="b">
        <v>0</v>
      </c>
      <c r="D8" s="1" t="s">
        <v>65</v>
      </c>
    </row>
    <row r="9" spans="1:4" x14ac:dyDescent="0.25">
      <c r="A9" s="1" t="s">
        <v>22</v>
      </c>
      <c r="B9" s="1" t="s">
        <v>6</v>
      </c>
      <c r="C9" s="1" t="b">
        <v>0</v>
      </c>
      <c r="D9" s="1" t="s">
        <v>65</v>
      </c>
    </row>
    <row r="10" spans="1:4" x14ac:dyDescent="0.25">
      <c r="A10" s="1" t="s">
        <v>23</v>
      </c>
      <c r="B10" s="1" t="s">
        <v>6</v>
      </c>
      <c r="C10" s="1" t="b">
        <v>0</v>
      </c>
      <c r="D10" s="1" t="s">
        <v>65</v>
      </c>
    </row>
    <row r="11" spans="1:4" x14ac:dyDescent="0.25">
      <c r="A11" s="1" t="s">
        <v>42</v>
      </c>
      <c r="B11" s="1" t="s">
        <v>6</v>
      </c>
      <c r="C11" s="1" t="b">
        <v>0</v>
      </c>
      <c r="D11" s="1" t="s">
        <v>65</v>
      </c>
    </row>
    <row r="12" spans="1:4" x14ac:dyDescent="0.25">
      <c r="A12" s="1" t="s">
        <v>43</v>
      </c>
      <c r="B12" s="1" t="s">
        <v>6</v>
      </c>
      <c r="C12" s="1" t="b">
        <v>0</v>
      </c>
      <c r="D12" s="1" t="s">
        <v>65</v>
      </c>
    </row>
    <row r="13" spans="1:4" x14ac:dyDescent="0.25">
      <c r="A13" s="1" t="s">
        <v>44</v>
      </c>
      <c r="B13" s="1" t="s">
        <v>6</v>
      </c>
      <c r="C13" s="1" t="b">
        <v>0</v>
      </c>
      <c r="D13" s="1" t="s">
        <v>65</v>
      </c>
    </row>
    <row r="14" spans="1:4" x14ac:dyDescent="0.25">
      <c r="A14" s="1" t="s">
        <v>45</v>
      </c>
      <c r="B14" s="1" t="s">
        <v>6</v>
      </c>
      <c r="C14" s="1" t="b">
        <v>0</v>
      </c>
      <c r="D14" s="1" t="s">
        <v>65</v>
      </c>
    </row>
    <row r="15" spans="1:4" x14ac:dyDescent="0.25">
      <c r="A15" s="1" t="s">
        <v>46</v>
      </c>
      <c r="B15" s="1" t="s">
        <v>6</v>
      </c>
      <c r="C15" s="1" t="b">
        <v>0</v>
      </c>
      <c r="D15" s="1" t="s">
        <v>65</v>
      </c>
    </row>
    <row r="16" spans="1:4" x14ac:dyDescent="0.25">
      <c r="A16" s="1" t="s">
        <v>49</v>
      </c>
      <c r="B16" s="1" t="s">
        <v>6</v>
      </c>
      <c r="C16" s="1" t="b">
        <v>0</v>
      </c>
      <c r="D16" s="1" t="s">
        <v>65</v>
      </c>
    </row>
    <row r="17" spans="1:4" x14ac:dyDescent="0.25">
      <c r="A17" s="1" t="s">
        <v>50</v>
      </c>
      <c r="B17" s="1" t="s">
        <v>6</v>
      </c>
      <c r="C17" s="1" t="b">
        <v>0</v>
      </c>
      <c r="D17" s="1" t="s">
        <v>65</v>
      </c>
    </row>
    <row r="18" spans="1:4" x14ac:dyDescent="0.25">
      <c r="A18" s="1" t="s">
        <v>51</v>
      </c>
      <c r="B18" s="1" t="s">
        <v>6</v>
      </c>
      <c r="C18" s="1" t="b">
        <v>0</v>
      </c>
      <c r="D18" s="1" t="s">
        <v>65</v>
      </c>
    </row>
    <row r="19" spans="1:4" x14ac:dyDescent="0.25">
      <c r="A19" s="1" t="s">
        <v>52</v>
      </c>
      <c r="B19" s="1" t="s">
        <v>6</v>
      </c>
      <c r="C19" s="1" t="b">
        <v>0</v>
      </c>
      <c r="D19" s="1" t="s">
        <v>65</v>
      </c>
    </row>
    <row r="20" spans="1:4" x14ac:dyDescent="0.25">
      <c r="A20" s="1" t="s">
        <v>53</v>
      </c>
      <c r="B20" s="1" t="s">
        <v>6</v>
      </c>
      <c r="C20" s="1" t="b">
        <v>0</v>
      </c>
      <c r="D20" s="1" t="s">
        <v>65</v>
      </c>
    </row>
    <row r="21" spans="1:4" x14ac:dyDescent="0.25">
      <c r="A21" s="1" t="s">
        <v>54</v>
      </c>
      <c r="B21" s="1" t="s">
        <v>6</v>
      </c>
      <c r="C21" s="1" t="b">
        <v>0</v>
      </c>
      <c r="D21" s="1" t="s">
        <v>65</v>
      </c>
    </row>
    <row r="22" spans="1:4" x14ac:dyDescent="0.25">
      <c r="A22" s="1" t="s">
        <v>55</v>
      </c>
      <c r="B22" s="1" t="s">
        <v>6</v>
      </c>
      <c r="C22" s="1" t="b">
        <v>0</v>
      </c>
      <c r="D22" s="1" t="s">
        <v>65</v>
      </c>
    </row>
  </sheetData>
  <autoFilter ref="A1:D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"/>
  <sheetViews>
    <sheetView workbookViewId="0">
      <selection activeCell="C15" sqref="C15"/>
    </sheetView>
  </sheetViews>
  <sheetFormatPr defaultColWidth="9.140625" defaultRowHeight="15" x14ac:dyDescent="0.25"/>
  <cols>
    <col min="1" max="16384" width="9.140625" style="1"/>
  </cols>
  <sheetData>
    <row r="1" spans="1:4" x14ac:dyDescent="0.25">
      <c r="A1" s="3" t="s">
        <v>26</v>
      </c>
      <c r="B1" s="3" t="s">
        <v>27</v>
      </c>
      <c r="C1" s="3" t="s">
        <v>28</v>
      </c>
      <c r="D1" s="3" t="s">
        <v>29</v>
      </c>
    </row>
  </sheetData>
  <autoFilter ref="A1:D1"/>
  <pageMargins left="0.7" right="0.7" top="0.75" bottom="0.75" header="0.3" footer="0.3"/>
  <pageSetup paperSize="9"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D7"/>
  <sheetViews>
    <sheetView workbookViewId="0">
      <selection activeCell="L14" sqref="B14:L14"/>
    </sheetView>
  </sheetViews>
  <sheetFormatPr defaultRowHeight="15" x14ac:dyDescent="0.25"/>
  <sheetData>
    <row r="2" spans="1:4" x14ac:dyDescent="0.25">
      <c r="A2" t="s">
        <v>25</v>
      </c>
    </row>
    <row r="3" spans="1:4" x14ac:dyDescent="0.25">
      <c r="A3" t="s">
        <v>24</v>
      </c>
    </row>
    <row r="4" spans="1:4" x14ac:dyDescent="0.25">
      <c r="B4" s="1" t="s">
        <v>16</v>
      </c>
      <c r="C4" s="1" t="s">
        <v>17</v>
      </c>
      <c r="D4" s="1" t="s">
        <v>18</v>
      </c>
    </row>
    <row r="5" spans="1:4" x14ac:dyDescent="0.25">
      <c r="A5" t="s">
        <v>16</v>
      </c>
      <c r="B5">
        <v>0</v>
      </c>
      <c r="C5">
        <v>5</v>
      </c>
      <c r="D5">
        <v>3</v>
      </c>
    </row>
    <row r="6" spans="1:4" x14ac:dyDescent="0.25">
      <c r="A6" t="s">
        <v>17</v>
      </c>
      <c r="B6">
        <v>1</v>
      </c>
      <c r="C6">
        <v>0</v>
      </c>
      <c r="D6">
        <v>4</v>
      </c>
    </row>
    <row r="7" spans="1:4" x14ac:dyDescent="0.25">
      <c r="A7" t="s">
        <v>18</v>
      </c>
      <c r="B7">
        <v>3</v>
      </c>
      <c r="C7">
        <v>3</v>
      </c>
      <c r="D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DADOSBASE</vt:lpstr>
      <vt:lpstr>PLANOPRODUCAO</vt:lpstr>
      <vt:lpstr>WIP</vt:lpstr>
      <vt:lpstr>ROTAS</vt:lpstr>
      <vt:lpstr>PROCESSAMENTOTAREFAS</vt:lpstr>
      <vt:lpstr>TAREFARECURSOS</vt:lpstr>
      <vt:lpstr>TABELA DE RECURSOS </vt:lpstr>
      <vt:lpstr>RECURSOS</vt:lpstr>
      <vt:lpstr>FORMAS</vt:lpstr>
      <vt:lpstr>Maquinas</vt:lpstr>
      <vt:lpstr>TaskMaterials</vt:lpstr>
      <vt:lpstr>ChangeOver</vt:lpstr>
    </vt:vector>
  </TitlesOfParts>
  <Company>Swedwood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Moura</dc:creator>
  <cp:lastModifiedBy>Windows User</cp:lastModifiedBy>
  <cp:lastPrinted>2016-07-05T09:10:47Z</cp:lastPrinted>
  <dcterms:created xsi:type="dcterms:W3CDTF">2014-07-13T23:25:38Z</dcterms:created>
  <dcterms:modified xsi:type="dcterms:W3CDTF">2019-06-26T16:11:50Z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547fdd3b-e11c-4a7c-bb80-dd79a544d005</vt:lpwstr>
  </property>
</Properties>
</file>